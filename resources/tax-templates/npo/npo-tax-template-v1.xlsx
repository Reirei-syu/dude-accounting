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资产负债表" sheetId="1" state="visible" r:id="rId3"/>
    <sheet name="业务活动表" sheetId="2" state="visible" r:id="rId4"/>
    <sheet name="现金流量表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<sst xmlns="http://schemas.openxmlformats.org/spreadsheetml/2006/main" count="146" uniqueCount="125">
  <si>
    <t xml:space="preserve">资产负债表（适用执行民间非营利组织会计制度的组织）</t>
  </si>
  <si>
    <r>
      <rPr>
        <sz val="10"/>
        <color rgb="FF000000"/>
        <rFont val="Noto Sans CJK SC"/>
        <family val="2"/>
      </rPr>
      <t xml:space="preserve">会民非</t>
    </r>
    <r>
      <rPr>
        <sz val="10"/>
        <color rgb="FF000000"/>
        <rFont val="宋体"/>
        <family val="0"/>
        <charset val="134"/>
      </rPr>
      <t xml:space="preserve">01</t>
    </r>
    <r>
      <rPr>
        <sz val="10"/>
        <color rgb="FF000000"/>
        <rFont val="Noto Sans CJK SC"/>
        <family val="2"/>
      </rPr>
      <t xml:space="preserve">表   单位</t>
    </r>
    <r>
      <rPr>
        <sz val="10"/>
        <color rgb="FF000000"/>
        <rFont val="宋体"/>
        <family val="0"/>
        <charset val="134"/>
      </rPr>
      <t xml:space="preserve">:</t>
    </r>
    <r>
      <rPr>
        <sz val="10"/>
        <color rgb="FF000000"/>
        <rFont val="Noto Sans CJK SC"/>
        <family val="2"/>
      </rPr>
      <t xml:space="preserve">元</t>
    </r>
  </si>
  <si>
    <t xml:space="preserve">纳税人识别号</t>
  </si>
  <si>
    <t xml:space="preserve">52310106MJ50512445</t>
  </si>
  <si>
    <t xml:space="preserve">纳税人名称</t>
  </si>
  <si>
    <t xml:space="preserve">上海静安千千结婚恋服务中心</t>
  </si>
  <si>
    <t xml:space="preserve">所属期起</t>
  </si>
  <si>
    <t xml:space="preserve">所属期止</t>
  </si>
  <si>
    <t xml:space="preserve">资产</t>
  </si>
  <si>
    <t xml:space="preserve">行次</t>
  </si>
  <si>
    <t xml:space="preserve">年初数</t>
  </si>
  <si>
    <t xml:space="preserve">期末数</t>
  </si>
  <si>
    <t xml:space="preserve">负债和净资产</t>
  </si>
  <si>
    <t xml:space="preserve">流动资产：</t>
  </si>
  <si>
    <t xml:space="preserve">流动负债：</t>
  </si>
  <si>
    <t xml:space="preserve">货币资金</t>
  </si>
  <si>
    <t xml:space="preserve">短期借款</t>
  </si>
  <si>
    <t xml:space="preserve">短期投资</t>
  </si>
  <si>
    <t xml:space="preserve">应付款项</t>
  </si>
  <si>
    <t xml:space="preserve">应收款项</t>
  </si>
  <si>
    <t xml:space="preserve">应付工资</t>
  </si>
  <si>
    <t xml:space="preserve">预付账款</t>
  </si>
  <si>
    <t xml:space="preserve">应交税金</t>
  </si>
  <si>
    <t xml:space="preserve">存货</t>
  </si>
  <si>
    <t xml:space="preserve">预收账款</t>
  </si>
  <si>
    <t xml:space="preserve">待摊费用</t>
  </si>
  <si>
    <t xml:space="preserve">预提费用</t>
  </si>
  <si>
    <t xml:space="preserve">一年内到期的长期债权投资</t>
  </si>
  <si>
    <t xml:space="preserve">预计负债</t>
  </si>
  <si>
    <t xml:space="preserve">其他流动资产</t>
  </si>
  <si>
    <t xml:space="preserve">一年内到期的长期负债</t>
  </si>
  <si>
    <t xml:space="preserve">流动资产合计</t>
  </si>
  <si>
    <t xml:space="preserve">其他流动负债</t>
  </si>
  <si>
    <t xml:space="preserve">流动负债合计</t>
  </si>
  <si>
    <t xml:space="preserve">长期投资：</t>
  </si>
  <si>
    <t xml:space="preserve">长期股权投资</t>
  </si>
  <si>
    <t xml:space="preserve">长期负债：</t>
  </si>
  <si>
    <t xml:space="preserve">长期债权投资</t>
  </si>
  <si>
    <t xml:space="preserve">长期借款</t>
  </si>
  <si>
    <t xml:space="preserve">长期投资合计</t>
  </si>
  <si>
    <t xml:space="preserve">长期应付款</t>
  </si>
  <si>
    <t xml:space="preserve">其他长期负债</t>
  </si>
  <si>
    <t xml:space="preserve">固定资产：</t>
  </si>
  <si>
    <t xml:space="preserve">长期负债合计</t>
  </si>
  <si>
    <t xml:space="preserve">固定资产原价</t>
  </si>
  <si>
    <t xml:space="preserve">减：累计折旧</t>
  </si>
  <si>
    <t xml:space="preserve">受托代理负债：</t>
  </si>
  <si>
    <t xml:space="preserve">固定资产净值</t>
  </si>
  <si>
    <t xml:space="preserve">受托代理负债</t>
  </si>
  <si>
    <t xml:space="preserve">在建工程</t>
  </si>
  <si>
    <t xml:space="preserve">文物文化资产</t>
  </si>
  <si>
    <t xml:space="preserve">负债合计</t>
  </si>
  <si>
    <t xml:space="preserve">固定资产清理</t>
  </si>
  <si>
    <t xml:space="preserve">固定资产合计</t>
  </si>
  <si>
    <t xml:space="preserve">无形资产：</t>
  </si>
  <si>
    <t xml:space="preserve">无形资产</t>
  </si>
  <si>
    <t xml:space="preserve">净资产：</t>
  </si>
  <si>
    <t xml:space="preserve">非限定性净资产</t>
  </si>
  <si>
    <t xml:space="preserve">受托代理资产：</t>
  </si>
  <si>
    <t xml:space="preserve">限定性净资产</t>
  </si>
  <si>
    <t xml:space="preserve">受托代理资产</t>
  </si>
  <si>
    <t xml:space="preserve">净资产合计</t>
  </si>
  <si>
    <t xml:space="preserve">资产总计</t>
  </si>
  <si>
    <t xml:space="preserve">负债和净资产总计</t>
  </si>
  <si>
    <t xml:space="preserve">业务活动表（适用执行民间非营利组织会计制度的组织）</t>
  </si>
  <si>
    <r>
      <rPr>
        <sz val="10"/>
        <color rgb="FF000000"/>
        <rFont val="Noto Sans CJK SC"/>
        <family val="2"/>
      </rPr>
      <t xml:space="preserve">会民非</t>
    </r>
    <r>
      <rPr>
        <sz val="10"/>
        <color rgb="FF000000"/>
        <rFont val="宋体"/>
        <family val="0"/>
        <charset val="134"/>
      </rPr>
      <t xml:space="preserve">02</t>
    </r>
    <r>
      <rPr>
        <sz val="10"/>
        <color rgb="FF000000"/>
        <rFont val="Noto Sans CJK SC"/>
        <family val="2"/>
      </rPr>
      <t xml:space="preserve">表   单位</t>
    </r>
    <r>
      <rPr>
        <sz val="10"/>
        <color rgb="FF000000"/>
        <rFont val="宋体"/>
        <family val="0"/>
        <charset val="134"/>
      </rPr>
      <t xml:space="preserve">:</t>
    </r>
    <r>
      <rPr>
        <sz val="10"/>
        <color rgb="FF000000"/>
        <rFont val="Noto Sans CJK SC"/>
        <family val="2"/>
      </rPr>
      <t xml:space="preserve">元</t>
    </r>
  </si>
  <si>
    <t xml:space="preserve">项目</t>
  </si>
  <si>
    <t xml:space="preserve">本月数</t>
  </si>
  <si>
    <t xml:space="preserve">本年累计数</t>
  </si>
  <si>
    <t xml:space="preserve">非限定性</t>
  </si>
  <si>
    <t xml:space="preserve">限定性</t>
  </si>
  <si>
    <t xml:space="preserve">合计</t>
  </si>
  <si>
    <t xml:space="preserve">一、收入</t>
  </si>
  <si>
    <t xml:space="preserve">其中：捐赠收入</t>
  </si>
  <si>
    <t xml:space="preserve">会费收入</t>
  </si>
  <si>
    <t xml:space="preserve">提供服务收入</t>
  </si>
  <si>
    <t xml:space="preserve">商品销售收入</t>
  </si>
  <si>
    <t xml:space="preserve">政府补助收入</t>
  </si>
  <si>
    <t xml:space="preserve">投资收益</t>
  </si>
  <si>
    <t xml:space="preserve">其他收入</t>
  </si>
  <si>
    <t xml:space="preserve">收入合计</t>
  </si>
  <si>
    <t xml:space="preserve">二、费用</t>
  </si>
  <si>
    <t xml:space="preserve">（一）业务活动成本</t>
  </si>
  <si>
    <t xml:space="preserve">其中：</t>
  </si>
  <si>
    <t xml:space="preserve">（二）管理费用</t>
  </si>
  <si>
    <t xml:space="preserve">（三）筹资费用</t>
  </si>
  <si>
    <t xml:space="preserve">（四）其他费用</t>
  </si>
  <si>
    <t xml:space="preserve">费用合计</t>
  </si>
  <si>
    <t xml:space="preserve">三、限定性净资产转为非限定性净资产</t>
  </si>
  <si>
    <r>
      <rPr>
        <b val="true"/>
        <sz val="10"/>
        <color rgb="FF000000"/>
        <rFont val="Noto Sans CJK SC"/>
        <family val="2"/>
      </rPr>
      <t xml:space="preserve">四、净资产变动额（若为净资产减少额，以“</t>
    </r>
    <r>
      <rPr>
        <b val="true"/>
        <sz val="10"/>
        <color rgb="FF000000"/>
        <rFont val="宋体"/>
        <family val="0"/>
        <charset val="134"/>
      </rPr>
      <t xml:space="preserve">-”</t>
    </r>
    <r>
      <rPr>
        <b val="true"/>
        <sz val="10"/>
        <color rgb="FF000000"/>
        <rFont val="Noto Sans CJK SC"/>
        <family val="2"/>
      </rPr>
      <t xml:space="preserve">号填列）</t>
    </r>
  </si>
  <si>
    <t xml:space="preserve">现金流量表（适用执行民间非营利组织会计制度的组织）</t>
  </si>
  <si>
    <r>
      <rPr>
        <sz val="10"/>
        <color rgb="FF000000"/>
        <rFont val="Noto Sans CJK SC"/>
        <family val="2"/>
      </rPr>
      <t xml:space="preserve"> 会民非</t>
    </r>
    <r>
      <rPr>
        <sz val="10"/>
        <color rgb="FF000000"/>
        <rFont val="宋体"/>
        <family val="0"/>
        <charset val="134"/>
      </rPr>
      <t xml:space="preserve">03</t>
    </r>
    <r>
      <rPr>
        <sz val="10"/>
        <color rgb="FF000000"/>
        <rFont val="Noto Sans CJK SC"/>
        <family val="2"/>
      </rPr>
      <t xml:space="preserve">表   单位</t>
    </r>
    <r>
      <rPr>
        <sz val="10"/>
        <color rgb="FF000000"/>
        <rFont val="宋体"/>
        <family val="0"/>
        <charset val="134"/>
      </rPr>
      <t xml:space="preserve">:</t>
    </r>
    <r>
      <rPr>
        <sz val="10"/>
        <color rgb="FF000000"/>
        <rFont val="Noto Sans CJK SC"/>
        <family val="2"/>
      </rPr>
      <t xml:space="preserve">元</t>
    </r>
  </si>
  <si>
    <t xml:space="preserve">金 额</t>
  </si>
  <si>
    <t xml:space="preserve">一、业务活动产生的现金流量：</t>
  </si>
  <si>
    <t xml:space="preserve">接受捐赠收到的现金</t>
  </si>
  <si>
    <t xml:space="preserve">收取会费收到的现金</t>
  </si>
  <si>
    <t xml:space="preserve">提供服务收到的现金</t>
  </si>
  <si>
    <t xml:space="preserve">销售商品收到的现金</t>
  </si>
  <si>
    <t xml:space="preserve">政府补助收到的现金</t>
  </si>
  <si>
    <t xml:space="preserve">收到的其他与业务活动有关的现金</t>
  </si>
  <si>
    <t xml:space="preserve">    现金流入小计</t>
  </si>
  <si>
    <t xml:space="preserve">提供捐赠或者资助支付的现金</t>
  </si>
  <si>
    <t xml:space="preserve">支付给员工以及为员工支付的现金</t>
  </si>
  <si>
    <t xml:space="preserve">购买商品、接受服务支付的现金</t>
  </si>
  <si>
    <t xml:space="preserve">支付的其他与业务活动有关的现金</t>
  </si>
  <si>
    <t xml:space="preserve">    现金流出小计</t>
  </si>
  <si>
    <t xml:space="preserve">    业务活动产生的现金流量净额</t>
  </si>
  <si>
    <t xml:space="preserve">二、投资活动产生的现金流量：</t>
  </si>
  <si>
    <t xml:space="preserve">收回投资所收到的现金 </t>
  </si>
  <si>
    <t xml:space="preserve">取得投资收益所收到的现金</t>
  </si>
  <si>
    <t xml:space="preserve">处置固定资产和无形资产所收回的现金</t>
  </si>
  <si>
    <t xml:space="preserve">收到的其他与投资活动有关的现金</t>
  </si>
  <si>
    <t xml:space="preserve">购建固定资产和无形资产所支付的现金</t>
  </si>
  <si>
    <t xml:space="preserve">对外投资所支付的现金</t>
  </si>
  <si>
    <t xml:space="preserve">支付的其他与投资活动有关的现金</t>
  </si>
  <si>
    <t xml:space="preserve">    投资活动产生的现金流量净额</t>
  </si>
  <si>
    <t xml:space="preserve">三、筹资活动产生的现金流量：</t>
  </si>
  <si>
    <t xml:space="preserve">借款所收到的现金</t>
  </si>
  <si>
    <t xml:space="preserve">收到的其他与筹资活动有关的现金</t>
  </si>
  <si>
    <t xml:space="preserve">偿还借款所支付的现金</t>
  </si>
  <si>
    <t xml:space="preserve">偿付利息所支付的现金</t>
  </si>
  <si>
    <t xml:space="preserve">支付的其他与筹资活动有关的现金</t>
  </si>
  <si>
    <t xml:space="preserve">    筹资活动产生的现金流量净额</t>
  </si>
  <si>
    <t xml:space="preserve">四、汇率变动对现金的影响额</t>
  </si>
  <si>
    <t xml:space="preserve">五、现金及现金等价物净增加额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</si>
</sst>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yyyy/m/d;@"/>
    <numFmt numFmtId="167" formatCode="0.00_ "/>
    <numFmt numFmtId="168" formatCode="General"/>
    <numFmt numFmtId="169" formatCode="0_);[RED]\(0\)"/>
  </numFmts>
  <fonts count="27">
    <font>
      <sz val="1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0"/>
      <charset val="134"/>
    </font>
    <font>
      <sz val="11"/>
      <color rgb="FFFFFFFF"/>
      <name val="宋体"/>
      <family val="0"/>
      <charset val="134"/>
    </font>
    <font>
      <sz val="10"/>
      <name val="Arial"/>
      <family val="2"/>
    </font>
    <font>
      <b val="true"/>
      <sz val="15"/>
      <color rgb="FF33CCCC"/>
      <name val="宋体"/>
      <family val="0"/>
      <charset val="134"/>
    </font>
    <font>
      <b val="true"/>
      <sz val="13"/>
      <color rgb="FF33CCCC"/>
      <name val="宋体"/>
      <family val="0"/>
      <charset val="134"/>
    </font>
    <font>
      <b val="true"/>
      <sz val="11"/>
      <color rgb="FF33CCCC"/>
      <name val="宋体"/>
      <family val="0"/>
      <charset val="134"/>
    </font>
    <font>
      <b val="true"/>
      <sz val="18"/>
      <color rgb="FF33CCCC"/>
      <name val="宋体"/>
      <family val="0"/>
      <charset val="134"/>
    </font>
    <font>
      <b val="true"/>
      <sz val="11"/>
      <color rgb="FFFFFFFF"/>
      <name val="宋体"/>
      <family val="0"/>
      <charset val="134"/>
    </font>
    <font>
      <b val="true"/>
      <sz val="11"/>
      <color rgb="FF000000"/>
      <name val="宋体"/>
      <family val="0"/>
      <charset val="134"/>
    </font>
    <font>
      <b val="true"/>
      <sz val="11"/>
      <color rgb="FFFF9900"/>
      <name val="宋体"/>
      <family val="0"/>
      <charset val="134"/>
    </font>
    <font>
      <sz val="11"/>
      <color rgb="FF666699"/>
      <name val="宋体"/>
      <family val="0"/>
      <charset val="134"/>
    </font>
    <font>
      <sz val="11"/>
      <color rgb="FF993300"/>
      <name val="宋体"/>
      <family val="0"/>
      <charset val="134"/>
    </font>
    <font>
      <sz val="11"/>
      <color rgb="FFFF9900"/>
      <name val="宋体"/>
      <family val="0"/>
      <charset val="134"/>
    </font>
    <font>
      <b val="true"/>
      <sz val="14"/>
      <color rgb="FF333333"/>
      <name val="Noto Sans CJK SC"/>
      <family val="2"/>
    </font>
    <font>
      <sz val="10"/>
      <color rgb="FF333333"/>
      <name val="宋体"/>
      <family val="0"/>
      <charset val="134"/>
    </font>
    <font>
      <sz val="10"/>
      <color rgb="FF000000"/>
      <name val="宋体"/>
      <family val="0"/>
      <charset val="134"/>
    </font>
    <font>
      <sz val="10"/>
      <color rgb="FF000000"/>
      <name val="Noto Sans CJK SC"/>
      <family val="2"/>
    </font>
    <font>
      <sz val="10"/>
      <color rgb="FF333333"/>
      <name val="Noto Sans CJK SC"/>
      <family val="2"/>
    </font>
    <font>
      <b val="true"/>
      <sz val="10"/>
      <color rgb="FF333333"/>
      <name val="Noto Sans CJK SC"/>
      <family val="2"/>
    </font>
    <font>
      <sz val="10"/>
      <color rgb="FFFF0000"/>
      <name val="宋体"/>
      <family val="0"/>
      <charset val="134"/>
    </font>
    <font>
      <b val="true"/>
      <sz val="14"/>
      <color rgb="FF000000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宋体"/>
      <family val="0"/>
      <charset val="134"/>
    </font>
  </fonts>
  <fills count="17">
    <fill>
      <patternFill patternType="none"/>
    </fill>
    <fill>
      <patternFill patternType="gray125"/>
    </fill>
    <fill>
      <patternFill patternType="solid">
        <fgColor rgb="FFE0E0E0"/>
        <bgColor rgb="FFF0F0F0"/>
      </patternFill>
    </fill>
    <fill>
      <patternFill patternType="solid">
        <fgColor rgb="FFFFCC99"/>
        <bgColor rgb="FFE0E0E0"/>
      </patternFill>
    </fill>
    <fill>
      <patternFill patternType="solid">
        <fgColor rgb="FFC0C0C0"/>
        <bgColor rgb="FF99CCFF"/>
      </patternFill>
    </fill>
    <fill>
      <patternFill patternType="solid">
        <fgColor rgb="FF99CCFF"/>
        <bgColor rgb="FFC0C0C0"/>
      </patternFill>
    </fill>
    <fill>
      <patternFill patternType="solid">
        <fgColor rgb="FF33CCCC"/>
        <bgColor rgb="FF00CCFF"/>
      </patternFill>
    </fill>
    <fill>
      <patternFill patternType="solid">
        <fgColor rgb="FFA0A0A0"/>
        <bgColor rgb="FFC0C0C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333333"/>
        <bgColor rgb="FF333300"/>
      </patternFill>
    </fill>
    <fill>
      <patternFill patternType="solid">
        <fgColor rgb="FFFFFFCC"/>
        <bgColor rgb="FFFFFFFF"/>
      </patternFill>
    </fill>
    <fill>
      <patternFill patternType="solid">
        <fgColor rgb="FFF0F0F0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0F0F0"/>
      </patternFill>
    </fill>
    <fill>
      <patternFill patternType="solid">
        <fgColor rgb="FFCCFFFF"/>
        <bgColor rgb="FFCC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5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3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0" borderId="0" applyFont="true" applyBorder="false" applyAlignment="false" applyProtection="false"/>
    <xf numFmtId="164" fontId="7" fillId="0" borderId="1" applyFont="true" applyBorder="true" applyAlignment="false" applyProtection="false"/>
    <xf numFmtId="164" fontId="8" fillId="0" borderId="2" applyFont="true" applyBorder="true" applyAlignment="false" applyProtection="false"/>
    <xf numFmtId="164" fontId="9" fillId="0" borderId="3" applyFont="true" applyBorder="true" applyAlignment="false" applyProtection="false"/>
    <xf numFmtId="164" fontId="9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11" borderId="4" applyFont="true" applyBorder="true" applyAlignment="false" applyProtection="false"/>
    <xf numFmtId="164" fontId="12" fillId="0" borderId="5" applyFont="true" applyBorder="true" applyAlignment="false" applyProtection="false"/>
    <xf numFmtId="164" fontId="0" fillId="12" borderId="6" applyFont="true" applyBorder="true" applyAlignment="false" applyProtection="false"/>
    <xf numFmtId="164" fontId="13" fillId="13" borderId="7" applyFont="true" applyBorder="true" applyAlignment="false" applyProtection="false"/>
    <xf numFmtId="164" fontId="14" fillId="3" borderId="7" applyFont="true" applyBorder="true" applyAlignment="false" applyProtection="false"/>
    <xf numFmtId="164" fontId="15" fillId="14" borderId="0" applyFont="true" applyBorder="false" applyAlignment="false" applyProtection="false"/>
    <xf numFmtId="164" fontId="16" fillId="0" borderId="8" applyFont="true" applyBorder="tru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15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0" borderId="1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0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1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0" borderId="1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0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0" borderId="1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2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8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8" fillId="2" borderId="1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18" fillId="2" borderId="1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1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8" fillId="0" borderId="13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21" fillId="2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8" fillId="0" borderId="14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18" fillId="2" borderId="1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8" fillId="2" borderId="1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1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8" fillId="2" borderId="1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1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8" fillId="2" borderId="1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23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9" fillId="2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2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9" fillId="2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9" fillId="2" borderId="1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19" fillId="2" borderId="1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9" fillId="0" borderId="13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20" fillId="16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5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9" fillId="2" borderId="1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19" fillId="2" borderId="1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19" fillId="2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9" fillId="2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9" fillId="0" borderId="14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20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4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强调文字颜色 1 2" xfId="20"/>
    <cellStyle name="20% - 强调文字颜色 2 2" xfId="21"/>
    <cellStyle name="20% - 强调文字颜色 4 2" xfId="22"/>
    <cellStyle name="20% - 强调文字颜色 6 2" xfId="23"/>
    <cellStyle name="40% - 强调文字颜色 1 2" xfId="24"/>
    <cellStyle name="40% - 强调文字颜色 4 2" xfId="25"/>
    <cellStyle name="40% - 强调文字颜色 5 2" xfId="26"/>
    <cellStyle name="40% - 强调文字颜色 6 2" xfId="27"/>
    <cellStyle name="60% - 强调文字颜色 1 2" xfId="28"/>
    <cellStyle name="60% - 强调文字颜色 4 2" xfId="29"/>
    <cellStyle name="60% - 强调文字颜色 5 2" xfId="30"/>
    <cellStyle name="60% - 强调文字颜色 6 2" xfId="31"/>
    <cellStyle name="常规 2" xfId="32"/>
    <cellStyle name="常规 3" xfId="33"/>
    <cellStyle name="常规 3 2" xfId="34"/>
    <cellStyle name="常规 4" xfId="35"/>
    <cellStyle name="常规 5" xfId="36"/>
    <cellStyle name="常规 6" xfId="37"/>
    <cellStyle name="强调文字颜色 1 2" xfId="38"/>
    <cellStyle name="强调文字颜色 3 2" xfId="39"/>
    <cellStyle name="强调文字颜色 4 2" xfId="40"/>
    <cellStyle name="强调文字颜色 5 2" xfId="41"/>
    <cellStyle name="强调文字颜色 6 2" xfId="42"/>
    <cellStyle name="标题 1 2" xfId="43"/>
    <cellStyle name="标题 2 2" xfId="44"/>
    <cellStyle name="标题 3 2" xfId="45"/>
    <cellStyle name="标题 4 2" xfId="46"/>
    <cellStyle name="标题 5" xfId="47"/>
    <cellStyle name="检查单元格 2" xfId="48"/>
    <cellStyle name="汇总 2" xfId="49"/>
    <cellStyle name="注释 2" xfId="50"/>
    <cellStyle name="计算 2" xfId="51"/>
    <cellStyle name="输入 2" xfId="52"/>
    <cellStyle name="适中 2" xfId="53"/>
    <cellStyle name="链接单元格 2" xfId="5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5.62"/>
    <col collapsed="false" customWidth="true" hidden="false" outlineLevel="0" max="2" min="2" style="0" width="20.62"/>
    <col collapsed="false" customWidth="true" hidden="false" outlineLevel="0" max="3" min="3" style="0" width="5.62"/>
    <col collapsed="false" customWidth="true" hidden="false" outlineLevel="0" max="6" min="4" style="0" width="20.62"/>
    <col collapsed="false" customWidth="true" hidden="false" outlineLevel="0" max="7" min="7" style="0" width="5.62"/>
    <col collapsed="false" customWidth="true" hidden="false" outlineLevel="0" max="9" min="8" style="0" width="20.62"/>
    <col collapsed="false" customWidth="true" hidden="false" outlineLevel="0" max="10" min="10" style="0" width="5.73"/>
  </cols>
  <sheetData>
    <row r="1" s="3" customFormat="true" ht="36.7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1"/>
    </row>
    <row r="2" customFormat="false" ht="22.5" hidden="false" customHeight="true" outlineLevel="0" collapsed="false">
      <c r="A2" s="4"/>
      <c r="B2" s="5"/>
      <c r="C2" s="6"/>
      <c r="D2" s="6"/>
      <c r="E2" s="6"/>
      <c r="F2" s="6"/>
      <c r="G2" s="7"/>
      <c r="H2" s="7"/>
      <c r="I2" s="8" t="s">
        <v>1</v>
      </c>
      <c r="J2" s="4"/>
    </row>
    <row r="3" customFormat="false" ht="28" hidden="false" customHeight="true" outlineLevel="0" collapsed="false">
      <c r="A3" s="4"/>
      <c r="B3" s="9" t="s">
        <v>2</v>
      </c>
      <c r="C3" s="10" t="s">
        <v>3</v>
      </c>
      <c r="D3" s="10"/>
      <c r="E3" s="10"/>
      <c r="F3" s="11" t="s">
        <v>4</v>
      </c>
      <c r="G3" s="12" t="s">
        <v>5</v>
      </c>
      <c r="H3" s="12"/>
      <c r="I3" s="12"/>
      <c r="J3" s="4"/>
    </row>
    <row r="4" customFormat="false" ht="28" hidden="false" customHeight="true" outlineLevel="0" collapsed="false">
      <c r="A4" s="4"/>
      <c r="B4" s="13" t="s">
        <v>6</v>
      </c>
      <c r="C4" s="14"/>
      <c r="D4" s="14"/>
      <c r="E4" s="14"/>
      <c r="F4" s="15" t="s">
        <v>7</v>
      </c>
      <c r="G4" s="16"/>
      <c r="H4" s="16"/>
      <c r="I4" s="16"/>
      <c r="J4" s="4"/>
    </row>
    <row r="5" customFormat="false" ht="28" hidden="false" customHeight="true" outlineLevel="0" collapsed="false">
      <c r="A5" s="4"/>
      <c r="B5" s="17" t="s">
        <v>8</v>
      </c>
      <c r="C5" s="18" t="s">
        <v>9</v>
      </c>
      <c r="D5" s="18" t="s">
        <v>10</v>
      </c>
      <c r="E5" s="18" t="s">
        <v>11</v>
      </c>
      <c r="F5" s="18" t="s">
        <v>12</v>
      </c>
      <c r="G5" s="18" t="s">
        <v>9</v>
      </c>
      <c r="H5" s="18" t="s">
        <v>10</v>
      </c>
      <c r="I5" s="19" t="s">
        <v>11</v>
      </c>
      <c r="J5" s="4"/>
    </row>
    <row r="6" customFormat="false" ht="28" hidden="false" customHeight="true" outlineLevel="0" collapsed="false">
      <c r="A6" s="4"/>
      <c r="B6" s="20" t="s">
        <v>13</v>
      </c>
      <c r="C6" s="21"/>
      <c r="D6" s="22"/>
      <c r="E6" s="22"/>
      <c r="F6" s="23" t="s">
        <v>14</v>
      </c>
      <c r="G6" s="21"/>
      <c r="H6" s="24"/>
      <c r="I6" s="25"/>
      <c r="J6" s="4"/>
    </row>
    <row r="7" customFormat="false" ht="28" hidden="false" customHeight="true" outlineLevel="0" collapsed="false">
      <c r="A7" s="4"/>
      <c r="B7" s="26" t="s">
        <v>15</v>
      </c>
      <c r="C7" s="21" t="n">
        <v>1</v>
      </c>
      <c r="D7" s="27" t="n">
        <v>0</v>
      </c>
      <c r="E7" s="27" t="n">
        <v>0</v>
      </c>
      <c r="F7" s="28" t="s">
        <v>16</v>
      </c>
      <c r="G7" s="21" t="n">
        <v>61</v>
      </c>
      <c r="H7" s="27" t="n">
        <v>0</v>
      </c>
      <c r="I7" s="29" t="n">
        <v>0</v>
      </c>
      <c r="J7" s="4"/>
    </row>
    <row r="8" customFormat="false" ht="28" hidden="false" customHeight="true" outlineLevel="0" collapsed="false">
      <c r="A8" s="4"/>
      <c r="B8" s="26" t="s">
        <v>17</v>
      </c>
      <c r="C8" s="21" t="n">
        <v>2</v>
      </c>
      <c r="D8" s="27" t="n">
        <v>0</v>
      </c>
      <c r="E8" s="27" t="n">
        <v>0</v>
      </c>
      <c r="F8" s="28" t="s">
        <v>18</v>
      </c>
      <c r="G8" s="21" t="n">
        <v>62</v>
      </c>
      <c r="H8" s="27" t="n">
        <v>0</v>
      </c>
      <c r="I8" s="29" t="n">
        <v>0</v>
      </c>
      <c r="J8" s="4"/>
    </row>
    <row r="9" customFormat="false" ht="28" hidden="false" customHeight="true" outlineLevel="0" collapsed="false">
      <c r="A9" s="4"/>
      <c r="B9" s="26" t="s">
        <v>19</v>
      </c>
      <c r="C9" s="21" t="n">
        <v>3</v>
      </c>
      <c r="D9" s="27" t="n">
        <v>0</v>
      </c>
      <c r="E9" s="27" t="n">
        <v>0</v>
      </c>
      <c r="F9" s="28" t="s">
        <v>20</v>
      </c>
      <c r="G9" s="21" t="n">
        <v>63</v>
      </c>
      <c r="H9" s="27" t="n">
        <v>0</v>
      </c>
      <c r="I9" s="29" t="n">
        <v>0</v>
      </c>
      <c r="J9" s="4"/>
    </row>
    <row r="10" customFormat="false" ht="28" hidden="false" customHeight="true" outlineLevel="0" collapsed="false">
      <c r="A10" s="4"/>
      <c r="B10" s="26" t="s">
        <v>21</v>
      </c>
      <c r="C10" s="21" t="n">
        <v>4</v>
      </c>
      <c r="D10" s="27" t="n">
        <v>0</v>
      </c>
      <c r="E10" s="27" t="n">
        <v>0</v>
      </c>
      <c r="F10" s="28" t="s">
        <v>22</v>
      </c>
      <c r="G10" s="21" t="n">
        <v>65</v>
      </c>
      <c r="H10" s="27" t="n">
        <v>0</v>
      </c>
      <c r="I10" s="29" t="n">
        <v>0</v>
      </c>
      <c r="J10" s="4"/>
    </row>
    <row r="11" customFormat="false" ht="28" hidden="false" customHeight="true" outlineLevel="0" collapsed="false">
      <c r="A11" s="4"/>
      <c r="B11" s="26" t="s">
        <v>23</v>
      </c>
      <c r="C11" s="21" t="n">
        <v>8</v>
      </c>
      <c r="D11" s="27" t="n">
        <v>0</v>
      </c>
      <c r="E11" s="27" t="n">
        <v>0</v>
      </c>
      <c r="F11" s="28" t="s">
        <v>24</v>
      </c>
      <c r="G11" s="21" t="n">
        <v>66</v>
      </c>
      <c r="H11" s="27" t="n">
        <v>0</v>
      </c>
      <c r="I11" s="29" t="n">
        <v>0</v>
      </c>
      <c r="J11" s="4"/>
    </row>
    <row r="12" customFormat="false" ht="28" hidden="false" customHeight="true" outlineLevel="0" collapsed="false">
      <c r="A12" s="4"/>
      <c r="B12" s="26" t="s">
        <v>25</v>
      </c>
      <c r="C12" s="21" t="n">
        <v>9</v>
      </c>
      <c r="D12" s="27" t="n">
        <v>0</v>
      </c>
      <c r="E12" s="27" t="n">
        <v>0</v>
      </c>
      <c r="F12" s="28" t="s">
        <v>26</v>
      </c>
      <c r="G12" s="21" t="n">
        <v>71</v>
      </c>
      <c r="H12" s="27" t="n">
        <v>0</v>
      </c>
      <c r="I12" s="29" t="n">
        <v>0</v>
      </c>
      <c r="J12" s="4"/>
    </row>
    <row r="13" customFormat="false" ht="28" hidden="false" customHeight="true" outlineLevel="0" collapsed="false">
      <c r="A13" s="4"/>
      <c r="B13" s="26" t="s">
        <v>27</v>
      </c>
      <c r="C13" s="21" t="n">
        <v>15</v>
      </c>
      <c r="D13" s="27" t="n">
        <v>0</v>
      </c>
      <c r="E13" s="27" t="n">
        <v>0</v>
      </c>
      <c r="F13" s="28" t="s">
        <v>28</v>
      </c>
      <c r="G13" s="21" t="n">
        <v>72</v>
      </c>
      <c r="H13" s="27" t="n">
        <v>0</v>
      </c>
      <c r="I13" s="29" t="n">
        <v>0</v>
      </c>
      <c r="J13" s="4"/>
    </row>
    <row r="14" customFormat="false" ht="28" hidden="false" customHeight="true" outlineLevel="0" collapsed="false">
      <c r="A14" s="4"/>
      <c r="B14" s="26" t="s">
        <v>29</v>
      </c>
      <c r="C14" s="21" t="n">
        <v>18</v>
      </c>
      <c r="D14" s="27" t="n">
        <v>0</v>
      </c>
      <c r="E14" s="27" t="n">
        <v>0</v>
      </c>
      <c r="F14" s="28" t="s">
        <v>30</v>
      </c>
      <c r="G14" s="21" t="n">
        <v>74</v>
      </c>
      <c r="H14" s="27" t="n">
        <v>0</v>
      </c>
      <c r="I14" s="29" t="n">
        <v>0</v>
      </c>
      <c r="J14" s="4"/>
    </row>
    <row r="15" customFormat="false" ht="28" hidden="false" customHeight="true" outlineLevel="0" collapsed="false">
      <c r="A15" s="4"/>
      <c r="B15" s="26" t="s">
        <v>31</v>
      </c>
      <c r="C15" s="21" t="n">
        <v>20</v>
      </c>
      <c r="D15" s="24" t="n">
        <f aca="false">ROUND((D7+D8+D9+D10+D11+D12+D13+D14),2)</f>
        <v>0</v>
      </c>
      <c r="E15" s="24" t="n">
        <f aca="false">ROUND((E7+E8+E9+E10+E11+E12+E13+E14),2)</f>
        <v>0</v>
      </c>
      <c r="F15" s="28" t="s">
        <v>32</v>
      </c>
      <c r="G15" s="21" t="n">
        <v>78</v>
      </c>
      <c r="H15" s="27" t="n">
        <v>0</v>
      </c>
      <c r="I15" s="29" t="n">
        <v>0</v>
      </c>
      <c r="J15" s="4"/>
    </row>
    <row r="16" customFormat="false" ht="28" hidden="false" customHeight="true" outlineLevel="0" collapsed="false">
      <c r="A16" s="4"/>
      <c r="B16" s="26"/>
      <c r="C16" s="21"/>
      <c r="D16" s="30"/>
      <c r="E16" s="21"/>
      <c r="F16" s="28" t="s">
        <v>33</v>
      </c>
      <c r="G16" s="21" t="n">
        <v>80</v>
      </c>
      <c r="H16" s="24" t="n">
        <f aca="false">ROUND((H7+H8+H9+H10+H11+H12+H13+H14+H15),2)</f>
        <v>0</v>
      </c>
      <c r="I16" s="25" t="n">
        <f aca="false">ROUND((I7+I8+I9+I10+I11+I12+I13+I14+I15),2)</f>
        <v>0</v>
      </c>
      <c r="J16" s="4"/>
    </row>
    <row r="17" customFormat="false" ht="28" hidden="false" customHeight="true" outlineLevel="0" collapsed="false">
      <c r="A17" s="4"/>
      <c r="B17" s="20" t="s">
        <v>34</v>
      </c>
      <c r="C17" s="21"/>
      <c r="D17" s="21"/>
      <c r="E17" s="21"/>
      <c r="F17" s="28"/>
      <c r="G17" s="21"/>
      <c r="H17" s="21"/>
      <c r="I17" s="25"/>
      <c r="J17" s="4"/>
    </row>
    <row r="18" customFormat="false" ht="28" hidden="false" customHeight="true" outlineLevel="0" collapsed="false">
      <c r="A18" s="4"/>
      <c r="B18" s="26" t="s">
        <v>35</v>
      </c>
      <c r="C18" s="21" t="n">
        <v>21</v>
      </c>
      <c r="D18" s="27" t="n">
        <v>0</v>
      </c>
      <c r="E18" s="27" t="n">
        <v>0</v>
      </c>
      <c r="F18" s="23" t="s">
        <v>36</v>
      </c>
      <c r="G18" s="21"/>
      <c r="H18" s="21"/>
      <c r="I18" s="25"/>
      <c r="J18" s="4"/>
    </row>
    <row r="19" customFormat="false" ht="28" hidden="false" customHeight="true" outlineLevel="0" collapsed="false">
      <c r="A19" s="4"/>
      <c r="B19" s="26" t="s">
        <v>37</v>
      </c>
      <c r="C19" s="21" t="n">
        <v>24</v>
      </c>
      <c r="D19" s="27" t="n">
        <v>0</v>
      </c>
      <c r="E19" s="27" t="n">
        <v>0</v>
      </c>
      <c r="F19" s="28" t="s">
        <v>38</v>
      </c>
      <c r="G19" s="21" t="n">
        <v>81</v>
      </c>
      <c r="H19" s="27" t="n">
        <v>0</v>
      </c>
      <c r="I19" s="29" t="n">
        <v>0</v>
      </c>
      <c r="J19" s="4"/>
    </row>
    <row r="20" customFormat="false" ht="28" hidden="false" customHeight="true" outlineLevel="0" collapsed="false">
      <c r="A20" s="4"/>
      <c r="B20" s="26" t="s">
        <v>39</v>
      </c>
      <c r="C20" s="21" t="n">
        <v>30</v>
      </c>
      <c r="D20" s="24" t="n">
        <f aca="false">ROUND((D18+D19),2)</f>
        <v>0</v>
      </c>
      <c r="E20" s="24" t="n">
        <f aca="false">ROUND((E18+E19),2)</f>
        <v>0</v>
      </c>
      <c r="F20" s="28" t="s">
        <v>40</v>
      </c>
      <c r="G20" s="21" t="n">
        <v>84</v>
      </c>
      <c r="H20" s="27" t="n">
        <v>0</v>
      </c>
      <c r="I20" s="29" t="n">
        <v>0</v>
      </c>
      <c r="J20" s="4"/>
    </row>
    <row r="21" customFormat="false" ht="28" hidden="false" customHeight="true" outlineLevel="0" collapsed="false">
      <c r="A21" s="4"/>
      <c r="B21" s="26"/>
      <c r="C21" s="21"/>
      <c r="D21" s="30"/>
      <c r="E21" s="30"/>
      <c r="F21" s="28" t="s">
        <v>41</v>
      </c>
      <c r="G21" s="21" t="n">
        <v>88</v>
      </c>
      <c r="H21" s="27" t="n">
        <v>0</v>
      </c>
      <c r="I21" s="29" t="n">
        <v>0</v>
      </c>
      <c r="J21" s="4"/>
    </row>
    <row r="22" customFormat="false" ht="28" hidden="false" customHeight="true" outlineLevel="0" collapsed="false">
      <c r="A22" s="4"/>
      <c r="B22" s="20" t="s">
        <v>42</v>
      </c>
      <c r="C22" s="21"/>
      <c r="D22" s="30"/>
      <c r="E22" s="30"/>
      <c r="F22" s="28" t="s">
        <v>43</v>
      </c>
      <c r="G22" s="21" t="n">
        <v>90</v>
      </c>
      <c r="H22" s="24" t="n">
        <f aca="false">ROUND((H19+H20+H21),2)</f>
        <v>0</v>
      </c>
      <c r="I22" s="25" t="n">
        <f aca="false">ROUND((I19+I20+I21),2)</f>
        <v>0</v>
      </c>
      <c r="J22" s="4"/>
    </row>
    <row r="23" customFormat="false" ht="28" hidden="false" customHeight="true" outlineLevel="0" collapsed="false">
      <c r="A23" s="4"/>
      <c r="B23" s="26" t="s">
        <v>44</v>
      </c>
      <c r="C23" s="21" t="n">
        <v>31</v>
      </c>
      <c r="D23" s="27" t="n">
        <v>0</v>
      </c>
      <c r="E23" s="27" t="n">
        <v>0</v>
      </c>
      <c r="F23" s="28"/>
      <c r="G23" s="21"/>
      <c r="H23" s="30"/>
      <c r="I23" s="31"/>
      <c r="J23" s="4"/>
    </row>
    <row r="24" customFormat="false" ht="28" hidden="false" customHeight="true" outlineLevel="0" collapsed="false">
      <c r="A24" s="4"/>
      <c r="B24" s="26" t="s">
        <v>45</v>
      </c>
      <c r="C24" s="21" t="n">
        <v>32</v>
      </c>
      <c r="D24" s="27" t="n">
        <v>0</v>
      </c>
      <c r="E24" s="27" t="n">
        <v>0</v>
      </c>
      <c r="F24" s="23" t="s">
        <v>46</v>
      </c>
      <c r="G24" s="21"/>
      <c r="H24" s="30"/>
      <c r="I24" s="31"/>
      <c r="J24" s="4"/>
    </row>
    <row r="25" customFormat="false" ht="28" hidden="false" customHeight="true" outlineLevel="0" collapsed="false">
      <c r="A25" s="4"/>
      <c r="B25" s="26" t="s">
        <v>47</v>
      </c>
      <c r="C25" s="21" t="n">
        <v>33</v>
      </c>
      <c r="D25" s="24" t="n">
        <f aca="false">ROUND(资产负债表!D23-资产负债表!D24,2)</f>
        <v>0</v>
      </c>
      <c r="E25" s="24" t="n">
        <f aca="false">ROUND(资产负债表!E23-资产负债表!E24,2)</f>
        <v>0</v>
      </c>
      <c r="F25" s="28" t="s">
        <v>48</v>
      </c>
      <c r="G25" s="21" t="n">
        <v>91</v>
      </c>
      <c r="H25" s="27" t="n">
        <v>0</v>
      </c>
      <c r="I25" s="29" t="n">
        <v>0</v>
      </c>
      <c r="J25" s="4"/>
    </row>
    <row r="26" customFormat="false" ht="28" hidden="false" customHeight="true" outlineLevel="0" collapsed="false">
      <c r="A26" s="4"/>
      <c r="B26" s="26" t="s">
        <v>49</v>
      </c>
      <c r="C26" s="21" t="n">
        <v>34</v>
      </c>
      <c r="D26" s="27" t="n">
        <v>0</v>
      </c>
      <c r="E26" s="27" t="n">
        <v>0</v>
      </c>
      <c r="F26" s="28"/>
      <c r="G26" s="21"/>
      <c r="H26" s="30"/>
      <c r="I26" s="31"/>
      <c r="J26" s="4"/>
    </row>
    <row r="27" customFormat="false" ht="28" hidden="false" customHeight="true" outlineLevel="0" collapsed="false">
      <c r="A27" s="4"/>
      <c r="B27" s="26" t="s">
        <v>50</v>
      </c>
      <c r="C27" s="21" t="n">
        <v>35</v>
      </c>
      <c r="D27" s="27" t="n">
        <v>0</v>
      </c>
      <c r="E27" s="27" t="n">
        <v>0</v>
      </c>
      <c r="F27" s="28" t="s">
        <v>51</v>
      </c>
      <c r="G27" s="21" t="n">
        <v>100</v>
      </c>
      <c r="H27" s="24" t="n">
        <f aca="false">ROUND(资产负债表!H16+资产负债表!H22+资产负债表!H25,2)</f>
        <v>0</v>
      </c>
      <c r="I27" s="25" t="n">
        <f aca="false">ROUND(资产负债表!I16+资产负债表!I22+资产负债表!I25,2)</f>
        <v>0</v>
      </c>
      <c r="J27" s="4"/>
    </row>
    <row r="28" customFormat="false" ht="28" hidden="false" customHeight="true" outlineLevel="0" collapsed="false">
      <c r="A28" s="4"/>
      <c r="B28" s="26" t="s">
        <v>52</v>
      </c>
      <c r="C28" s="21" t="n">
        <v>38</v>
      </c>
      <c r="D28" s="27" t="n">
        <v>0</v>
      </c>
      <c r="E28" s="27" t="n">
        <v>0</v>
      </c>
      <c r="F28" s="28"/>
      <c r="G28" s="21"/>
      <c r="H28" s="30"/>
      <c r="I28" s="31"/>
      <c r="J28" s="4"/>
    </row>
    <row r="29" customFormat="false" ht="28" hidden="false" customHeight="true" outlineLevel="0" collapsed="false">
      <c r="A29" s="4"/>
      <c r="B29" s="26" t="s">
        <v>53</v>
      </c>
      <c r="C29" s="21" t="n">
        <v>40</v>
      </c>
      <c r="D29" s="24" t="n">
        <f aca="false">ROUND((D25+D26+D27+D28),2)</f>
        <v>0</v>
      </c>
      <c r="E29" s="24" t="n">
        <f aca="false">ROUND((E25+E26+E27+E28),2)</f>
        <v>0</v>
      </c>
      <c r="F29" s="28"/>
      <c r="G29" s="21"/>
      <c r="H29" s="30"/>
      <c r="I29" s="31"/>
      <c r="J29" s="4"/>
    </row>
    <row r="30" customFormat="false" ht="28" hidden="false" customHeight="true" outlineLevel="0" collapsed="false">
      <c r="A30" s="4"/>
      <c r="B30" s="20" t="s">
        <v>54</v>
      </c>
      <c r="C30" s="21"/>
      <c r="D30" s="30"/>
      <c r="E30" s="30"/>
      <c r="F30" s="28"/>
      <c r="G30" s="21"/>
      <c r="H30" s="30"/>
      <c r="I30" s="31"/>
      <c r="J30" s="4"/>
    </row>
    <row r="31" customFormat="false" ht="28" hidden="false" customHeight="true" outlineLevel="0" collapsed="false">
      <c r="A31" s="4"/>
      <c r="B31" s="26" t="s">
        <v>55</v>
      </c>
      <c r="C31" s="21" t="n">
        <v>41</v>
      </c>
      <c r="D31" s="27" t="n">
        <v>0</v>
      </c>
      <c r="E31" s="27" t="n">
        <v>0</v>
      </c>
      <c r="F31" s="23" t="s">
        <v>56</v>
      </c>
      <c r="G31" s="21"/>
      <c r="H31" s="30"/>
      <c r="I31" s="31"/>
      <c r="J31" s="4"/>
    </row>
    <row r="32" customFormat="false" ht="28" hidden="false" customHeight="true" outlineLevel="0" collapsed="false">
      <c r="A32" s="4"/>
      <c r="B32" s="26"/>
      <c r="C32" s="21"/>
      <c r="D32" s="30"/>
      <c r="E32" s="30"/>
      <c r="F32" s="28" t="s">
        <v>57</v>
      </c>
      <c r="G32" s="21" t="n">
        <v>101</v>
      </c>
      <c r="H32" s="27" t="n">
        <v>0</v>
      </c>
      <c r="I32" s="29" t="n">
        <v>0</v>
      </c>
      <c r="J32" s="4"/>
    </row>
    <row r="33" customFormat="false" ht="28" hidden="false" customHeight="true" outlineLevel="0" collapsed="false">
      <c r="A33" s="4"/>
      <c r="B33" s="20" t="s">
        <v>58</v>
      </c>
      <c r="C33" s="21"/>
      <c r="D33" s="30"/>
      <c r="E33" s="30"/>
      <c r="F33" s="28" t="s">
        <v>59</v>
      </c>
      <c r="G33" s="21" t="n">
        <v>105</v>
      </c>
      <c r="H33" s="27" t="n">
        <v>0</v>
      </c>
      <c r="I33" s="29" t="n">
        <v>0</v>
      </c>
      <c r="J33" s="4"/>
    </row>
    <row r="34" customFormat="false" ht="28" hidden="false" customHeight="true" outlineLevel="0" collapsed="false">
      <c r="A34" s="4"/>
      <c r="B34" s="26" t="s">
        <v>60</v>
      </c>
      <c r="C34" s="21" t="n">
        <v>51</v>
      </c>
      <c r="D34" s="27" t="n">
        <v>0</v>
      </c>
      <c r="E34" s="27" t="n">
        <v>0</v>
      </c>
      <c r="F34" s="28" t="s">
        <v>61</v>
      </c>
      <c r="G34" s="21" t="n">
        <v>110</v>
      </c>
      <c r="H34" s="24" t="n">
        <f aca="false">ROUND(资产负债表!H32+资产负债表!H33,2)</f>
        <v>0</v>
      </c>
      <c r="I34" s="25" t="n">
        <f aca="false">ROUND(资产负债表!I32+资产负债表!I33,2)</f>
        <v>0</v>
      </c>
      <c r="J34" s="4"/>
    </row>
    <row r="35" customFormat="false" ht="28" hidden="false" customHeight="true" outlineLevel="0" collapsed="false">
      <c r="A35" s="4"/>
      <c r="B35" s="32" t="s">
        <v>62</v>
      </c>
      <c r="C35" s="33" t="n">
        <v>60</v>
      </c>
      <c r="D35" s="34" t="n">
        <f aca="false">ROUND(资产负债表!D15+资产负债表!D20+资产负债表!D29+资产负债表!D31+资产负债表!D34,2)</f>
        <v>0</v>
      </c>
      <c r="E35" s="34" t="n">
        <f aca="false">ROUND(资产负债表!E15+资产负债表!E20+资产负债表!E29+资产负债表!E31+资产负债表!E34,2)</f>
        <v>0</v>
      </c>
      <c r="F35" s="35" t="s">
        <v>63</v>
      </c>
      <c r="G35" s="33" t="n">
        <v>120</v>
      </c>
      <c r="H35" s="34" t="n">
        <f aca="false">ROUND(资产负债表!H27+资产负债表!H34,2)</f>
        <v>0</v>
      </c>
      <c r="I35" s="36" t="n">
        <f aca="false">ROUND(资产负债表!I27+资产负债表!I34,2)</f>
        <v>0</v>
      </c>
      <c r="J35" s="4"/>
    </row>
    <row r="36" customFormat="false" ht="49.5" hidden="false" customHeight="true" outlineLevel="0" collapsed="false">
      <c r="A36" s="4"/>
      <c r="B36" s="37" t="str">
        <f aca="false">IF(ROUND(D35,2)=ROUND(H35,2),IF(ROUND(E35,2)=ROUND(I35,2),"","提示：资产总计期末数与负债和净资产总计期末数不等"),"提示：资产总计年初数与负债和资产总计年初数不等")</f>
        <v/>
      </c>
      <c r="C36" s="37"/>
      <c r="D36" s="37"/>
      <c r="E36" s="37"/>
      <c r="F36" s="37"/>
      <c r="G36" s="37"/>
      <c r="H36" s="37"/>
      <c r="I36" s="37"/>
      <c r="J36" s="4"/>
    </row>
  </sheetData>
  <mergeCells count="6">
    <mergeCell ref="B1:I1"/>
    <mergeCell ref="C3:E3"/>
    <mergeCell ref="G3:I3"/>
    <mergeCell ref="C4:E4"/>
    <mergeCell ref="G4:I4"/>
    <mergeCell ref="B36:I36"/>
  </mergeCells>
  <dataValidations count="4">
    <dataValidation allowBlank="true" error="请输入正确的日期格式数据！格式为：xxxx-xx-xx" errorStyle="stop" operator="between" showDropDown="false" showErrorMessage="true" showInputMessage="false" sqref="C4:E4" type="date">
      <formula1>1</formula1>
      <formula2>2958435</formula2>
    </dataValidation>
    <dataValidation allowBlank="true" error="请输入正确的日期格式数据！格式为：xxxx-xx-xx" errorStyle="stop" operator="between" showDropDown="false" showErrorMessage="true" showInputMessage="false" sqref="G4:I4" type="date">
      <formula1>31</formula1>
      <formula2>2958465</formula2>
    </dataValidation>
    <dataValidation allowBlank="false" error="不能为空，默认赋值0.00" errorStyle="stop" operator="between" showDropDown="false" showErrorMessage="true" showInputMessage="false" sqref="D7:E14 H7:I15 D18:E19 H19:I21 D23:E24 H25:I25 D26:E28 D31:E31 H32:I33 D34:E34" type="decimal">
      <formula1>-9999999999999</formula1>
      <formula2>9999999999999</formula2>
    </dataValidation>
    <dataValidation allowBlank="true" errorStyle="stop" operator="between" showDropDown="false" showErrorMessage="true" showInputMessage="false" sqref="D16:E17 H17:I18 D21:E22 H23:I24 H26:I26 H28:I31 D30:E30 D32:E33" type="decimal">
      <formula1>-9999999999999</formula1>
      <formula2>9999999999999</formula2>
    </dataValidation>
  </dataValidations>
  <printOptions headings="false" gridLines="false" gridLinesSet="true" horizontalCentered="false" verticalCentered="false"/>
  <pageMargins left="0.9" right="0.9" top="0.979861111111111" bottom="0.97986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5.62"/>
    <col collapsed="false" customWidth="true" hidden="false" outlineLevel="0" max="2" min="2" style="0" width="28.99"/>
    <col collapsed="false" customWidth="true" hidden="false" outlineLevel="0" max="3" min="3" style="0" width="5.62"/>
    <col collapsed="false" customWidth="true" hidden="false" outlineLevel="0" max="9" min="4" style="0" width="20.62"/>
    <col collapsed="false" customWidth="true" hidden="false" outlineLevel="0" max="10" min="10" style="0" width="6.1"/>
  </cols>
  <sheetData>
    <row r="1" s="3" customFormat="true" ht="36.75" hidden="false" customHeight="true" outlineLevel="0" collapsed="false">
      <c r="A1" s="1"/>
      <c r="B1" s="38" t="s">
        <v>64</v>
      </c>
      <c r="C1" s="38"/>
      <c r="D1" s="38"/>
      <c r="E1" s="38"/>
      <c r="F1" s="38"/>
      <c r="G1" s="38"/>
      <c r="H1" s="38"/>
      <c r="I1" s="38"/>
      <c r="J1" s="1"/>
    </row>
    <row r="2" customFormat="false" ht="22.5" hidden="false" customHeight="true" outlineLevel="0" collapsed="false">
      <c r="A2" s="4"/>
      <c r="B2" s="39"/>
      <c r="C2" s="7"/>
      <c r="D2" s="7"/>
      <c r="E2" s="7"/>
      <c r="F2" s="7"/>
      <c r="G2" s="6"/>
      <c r="H2" s="6"/>
      <c r="I2" s="8" t="s">
        <v>65</v>
      </c>
      <c r="J2" s="4"/>
    </row>
    <row r="3" customFormat="false" ht="28" hidden="false" customHeight="true" outlineLevel="0" collapsed="false">
      <c r="A3" s="4"/>
      <c r="B3" s="40" t="s">
        <v>2</v>
      </c>
      <c r="C3" s="41" t="str">
        <f aca="false">IF(资产负债表!C3="","",资产负债表!C3)</f>
        <v>52310106MJ50512445</v>
      </c>
      <c r="D3" s="41"/>
      <c r="E3" s="41"/>
      <c r="F3" s="11" t="s">
        <v>4</v>
      </c>
      <c r="G3" s="42" t="str">
        <f aca="false">IF(资产负债表!G3="","",资产负债表!G3)</f>
        <v>上海静安千千结婚恋服务中心</v>
      </c>
      <c r="H3" s="42"/>
      <c r="I3" s="42"/>
      <c r="J3" s="4"/>
    </row>
    <row r="4" customFormat="false" ht="28" hidden="false" customHeight="true" outlineLevel="0" collapsed="false">
      <c r="A4" s="4"/>
      <c r="B4" s="43" t="s">
        <v>6</v>
      </c>
      <c r="C4" s="44" t="str">
        <f aca="false">IF(资产负债表!C4="","",资产负债表!C4)</f>
        <v/>
      </c>
      <c r="D4" s="44"/>
      <c r="E4" s="44"/>
      <c r="F4" s="15" t="s">
        <v>7</v>
      </c>
      <c r="G4" s="45" t="str">
        <f aca="false">IF(资产负债表!G4="","",资产负债表!G4)</f>
        <v/>
      </c>
      <c r="H4" s="45"/>
      <c r="I4" s="45"/>
      <c r="J4" s="4"/>
    </row>
    <row r="5" customFormat="false" ht="28" hidden="false" customHeight="true" outlineLevel="0" collapsed="false">
      <c r="A5" s="4"/>
      <c r="B5" s="46" t="s">
        <v>66</v>
      </c>
      <c r="C5" s="47" t="s">
        <v>9</v>
      </c>
      <c r="D5" s="47" t="s">
        <v>67</v>
      </c>
      <c r="E5" s="47"/>
      <c r="F5" s="47"/>
      <c r="G5" s="48" t="s">
        <v>68</v>
      </c>
      <c r="H5" s="48"/>
      <c r="I5" s="48"/>
      <c r="J5" s="4"/>
    </row>
    <row r="6" customFormat="false" ht="28" hidden="false" customHeight="true" outlineLevel="0" collapsed="false">
      <c r="A6" s="4"/>
      <c r="B6" s="46"/>
      <c r="C6" s="47"/>
      <c r="D6" s="47" t="s">
        <v>69</v>
      </c>
      <c r="E6" s="47" t="s">
        <v>70</v>
      </c>
      <c r="F6" s="47" t="s">
        <v>71</v>
      </c>
      <c r="G6" s="47" t="s">
        <v>69</v>
      </c>
      <c r="H6" s="47" t="s">
        <v>70</v>
      </c>
      <c r="I6" s="48" t="s">
        <v>71</v>
      </c>
      <c r="J6" s="4"/>
    </row>
    <row r="7" customFormat="false" ht="28" hidden="false" customHeight="true" outlineLevel="0" collapsed="false">
      <c r="A7" s="4"/>
      <c r="B7" s="49" t="s">
        <v>72</v>
      </c>
      <c r="C7" s="50"/>
      <c r="D7" s="51"/>
      <c r="E7" s="51"/>
      <c r="F7" s="51"/>
      <c r="G7" s="51"/>
      <c r="H7" s="51"/>
      <c r="I7" s="52"/>
      <c r="J7" s="4"/>
    </row>
    <row r="8" customFormat="false" ht="28" hidden="false" customHeight="true" outlineLevel="0" collapsed="false">
      <c r="A8" s="4"/>
      <c r="B8" s="53" t="s">
        <v>73</v>
      </c>
      <c r="C8" s="50" t="n">
        <v>1</v>
      </c>
      <c r="D8" s="54" t="n">
        <v>0</v>
      </c>
      <c r="E8" s="54" t="n">
        <v>0</v>
      </c>
      <c r="F8" s="51" t="n">
        <f aca="false">ROUND(业务活动表!D8+业务活动表!E8,2)</f>
        <v>0</v>
      </c>
      <c r="G8" s="54" t="n">
        <v>0</v>
      </c>
      <c r="H8" s="54" t="n">
        <v>0</v>
      </c>
      <c r="I8" s="52" t="n">
        <f aca="false">ROUND(业务活动表!G8+业务活动表!H8,2)</f>
        <v>0</v>
      </c>
      <c r="J8" s="4"/>
    </row>
    <row r="9" customFormat="false" ht="28" hidden="false" customHeight="true" outlineLevel="0" collapsed="false">
      <c r="A9" s="4"/>
      <c r="B9" s="53" t="s">
        <v>74</v>
      </c>
      <c r="C9" s="50" t="n">
        <v>2</v>
      </c>
      <c r="D9" s="54" t="n">
        <v>0</v>
      </c>
      <c r="E9" s="54" t="n">
        <v>0</v>
      </c>
      <c r="F9" s="51" t="n">
        <f aca="false">ROUND(业务活动表!D9+业务活动表!E9,2)</f>
        <v>0</v>
      </c>
      <c r="G9" s="54" t="n">
        <v>0</v>
      </c>
      <c r="H9" s="54" t="n">
        <v>0</v>
      </c>
      <c r="I9" s="52" t="n">
        <f aca="false">ROUND(业务活动表!G9+业务活动表!H9,2)</f>
        <v>0</v>
      </c>
      <c r="J9" s="4"/>
    </row>
    <row r="10" customFormat="false" ht="28" hidden="false" customHeight="true" outlineLevel="0" collapsed="false">
      <c r="A10" s="4"/>
      <c r="B10" s="53" t="s">
        <v>75</v>
      </c>
      <c r="C10" s="50" t="n">
        <v>3</v>
      </c>
      <c r="D10" s="54" t="n">
        <v>0</v>
      </c>
      <c r="E10" s="54" t="n">
        <v>0</v>
      </c>
      <c r="F10" s="51" t="n">
        <f aca="false">ROUND(业务活动表!D10+业务活动表!E10,2)</f>
        <v>0</v>
      </c>
      <c r="G10" s="54" t="n">
        <v>0</v>
      </c>
      <c r="H10" s="54" t="n">
        <v>0</v>
      </c>
      <c r="I10" s="52" t="n">
        <f aca="false">ROUND(业务活动表!G10+业务活动表!H10,2)</f>
        <v>0</v>
      </c>
      <c r="J10" s="4"/>
    </row>
    <row r="11" customFormat="false" ht="28" hidden="false" customHeight="true" outlineLevel="0" collapsed="false">
      <c r="A11" s="4"/>
      <c r="B11" s="53" t="s">
        <v>76</v>
      </c>
      <c r="C11" s="50" t="n">
        <v>4</v>
      </c>
      <c r="D11" s="54" t="n">
        <v>0</v>
      </c>
      <c r="E11" s="54" t="n">
        <v>0</v>
      </c>
      <c r="F11" s="51" t="n">
        <f aca="false">ROUND(业务活动表!D11+业务活动表!E11,2)</f>
        <v>0</v>
      </c>
      <c r="G11" s="54" t="n">
        <v>0</v>
      </c>
      <c r="H11" s="54" t="n">
        <v>0</v>
      </c>
      <c r="I11" s="52" t="n">
        <f aca="false">ROUND(业务活动表!G11+业务活动表!H11,2)</f>
        <v>0</v>
      </c>
      <c r="J11" s="4"/>
    </row>
    <row r="12" customFormat="false" ht="28" hidden="false" customHeight="true" outlineLevel="0" collapsed="false">
      <c r="A12" s="4"/>
      <c r="B12" s="53" t="s">
        <v>77</v>
      </c>
      <c r="C12" s="50" t="n">
        <v>5</v>
      </c>
      <c r="D12" s="54" t="n">
        <v>0</v>
      </c>
      <c r="E12" s="54" t="n">
        <v>0</v>
      </c>
      <c r="F12" s="51" t="n">
        <f aca="false">ROUND(业务活动表!D12+业务活动表!E12,2)</f>
        <v>0</v>
      </c>
      <c r="G12" s="54" t="n">
        <v>0</v>
      </c>
      <c r="H12" s="54" t="n">
        <v>0</v>
      </c>
      <c r="I12" s="52" t="n">
        <f aca="false">ROUND(业务活动表!G12+业务活动表!H12,2)</f>
        <v>0</v>
      </c>
      <c r="J12" s="4"/>
    </row>
    <row r="13" customFormat="false" ht="28" hidden="false" customHeight="true" outlineLevel="0" collapsed="false">
      <c r="A13" s="4"/>
      <c r="B13" s="53" t="s">
        <v>78</v>
      </c>
      <c r="C13" s="50" t="n">
        <v>6</v>
      </c>
      <c r="D13" s="54" t="n">
        <v>0</v>
      </c>
      <c r="E13" s="54" t="n">
        <v>0</v>
      </c>
      <c r="F13" s="51" t="n">
        <f aca="false">ROUND(业务活动表!D13+业务活动表!E13,2)</f>
        <v>0</v>
      </c>
      <c r="G13" s="54" t="n">
        <v>0</v>
      </c>
      <c r="H13" s="54" t="n">
        <v>0</v>
      </c>
      <c r="I13" s="52" t="n">
        <f aca="false">ROUND(业务活动表!G13+业务活动表!H13,2)</f>
        <v>0</v>
      </c>
      <c r="J13" s="4"/>
    </row>
    <row r="14" customFormat="false" ht="28" hidden="false" customHeight="true" outlineLevel="0" collapsed="false">
      <c r="A14" s="4"/>
      <c r="B14" s="53" t="s">
        <v>79</v>
      </c>
      <c r="C14" s="50" t="n">
        <v>9</v>
      </c>
      <c r="D14" s="54" t="n">
        <v>0</v>
      </c>
      <c r="E14" s="54" t="n">
        <v>0</v>
      </c>
      <c r="F14" s="51" t="n">
        <f aca="false">ROUND(业务活动表!D14+业务活动表!E14,2)</f>
        <v>0</v>
      </c>
      <c r="G14" s="54" t="n">
        <v>0</v>
      </c>
      <c r="H14" s="54" t="n">
        <v>0</v>
      </c>
      <c r="I14" s="52" t="n">
        <f aca="false">ROUND(业务活动表!G14+业务活动表!H14,2)</f>
        <v>0</v>
      </c>
      <c r="J14" s="4"/>
    </row>
    <row r="15" customFormat="false" ht="28" hidden="false" customHeight="true" outlineLevel="0" collapsed="false">
      <c r="A15" s="4"/>
      <c r="B15" s="53" t="s">
        <v>80</v>
      </c>
      <c r="C15" s="50" t="n">
        <v>11</v>
      </c>
      <c r="D15" s="51" t="n">
        <f aca="false">ROUND((D8+D9+D10+D11+D12+D13+D14),2)</f>
        <v>0</v>
      </c>
      <c r="E15" s="51" t="n">
        <f aca="false">ROUND((E8+E9+E10+E11+E12+E13+E14),2)</f>
        <v>0</v>
      </c>
      <c r="F15" s="51" t="n">
        <f aca="false">ROUND((F8+F9+F10+F11+F12+F13+F14),2)</f>
        <v>0</v>
      </c>
      <c r="G15" s="51" t="n">
        <f aca="false">ROUND((G8+G9+G10+G11+G12+G13+G14),2)</f>
        <v>0</v>
      </c>
      <c r="H15" s="51" t="n">
        <f aca="false">ROUND((H8+H9+H10+H11+H12+H13+H14),2)</f>
        <v>0</v>
      </c>
      <c r="I15" s="52" t="n">
        <f aca="false">ROUND((I8+I9+I10+I11+I12+I13+I14),2)</f>
        <v>0</v>
      </c>
      <c r="J15" s="4"/>
    </row>
    <row r="16" customFormat="false" ht="28" hidden="false" customHeight="true" outlineLevel="0" collapsed="false">
      <c r="A16" s="4"/>
      <c r="B16" s="49" t="s">
        <v>81</v>
      </c>
      <c r="C16" s="50"/>
      <c r="D16" s="51"/>
      <c r="E16" s="51"/>
      <c r="F16" s="51"/>
      <c r="G16" s="51"/>
      <c r="H16" s="51"/>
      <c r="I16" s="52"/>
      <c r="J16" s="4"/>
    </row>
    <row r="17" customFormat="false" ht="28" hidden="false" customHeight="true" outlineLevel="0" collapsed="false">
      <c r="A17" s="4"/>
      <c r="B17" s="53" t="s">
        <v>82</v>
      </c>
      <c r="C17" s="50" t="n">
        <v>12</v>
      </c>
      <c r="D17" s="54" t="n">
        <v>0</v>
      </c>
      <c r="E17" s="54" t="n">
        <v>0</v>
      </c>
      <c r="F17" s="51" t="n">
        <f aca="false">ROUND(业务活动表!D17+业务活动表!E17,2)</f>
        <v>0</v>
      </c>
      <c r="G17" s="54" t="n">
        <v>0</v>
      </c>
      <c r="H17" s="54" t="n">
        <v>0</v>
      </c>
      <c r="I17" s="52" t="n">
        <f aca="false">ROUND(业务活动表!G17+业务活动表!H17,2)</f>
        <v>0</v>
      </c>
      <c r="J17" s="4"/>
    </row>
    <row r="18" customFormat="false" ht="28" hidden="false" customHeight="true" outlineLevel="0" collapsed="false">
      <c r="A18" s="4"/>
      <c r="B18" s="55" t="s">
        <v>83</v>
      </c>
      <c r="C18" s="50" t="n">
        <v>13</v>
      </c>
      <c r="D18" s="54" t="n">
        <v>0</v>
      </c>
      <c r="E18" s="54" t="n">
        <v>0</v>
      </c>
      <c r="F18" s="51" t="n">
        <f aca="false">ROUND(业务活动表!D18+业务活动表!E18,2)</f>
        <v>0</v>
      </c>
      <c r="G18" s="54" t="n">
        <v>0</v>
      </c>
      <c r="H18" s="54" t="n">
        <v>0</v>
      </c>
      <c r="I18" s="52" t="n">
        <f aca="false">ROUND(业务活动表!G18+业务活动表!H18,2)</f>
        <v>0</v>
      </c>
      <c r="J18" s="4"/>
    </row>
    <row r="19" customFormat="false" ht="28" hidden="false" customHeight="true" outlineLevel="0" collapsed="false">
      <c r="A19" s="4"/>
      <c r="B19" s="55"/>
      <c r="C19" s="50" t="n">
        <v>14</v>
      </c>
      <c r="D19" s="54" t="n">
        <v>0</v>
      </c>
      <c r="E19" s="54" t="n">
        <v>0</v>
      </c>
      <c r="F19" s="51" t="n">
        <f aca="false">ROUND(业务活动表!D19+业务活动表!E19,2)</f>
        <v>0</v>
      </c>
      <c r="G19" s="54" t="n">
        <v>0</v>
      </c>
      <c r="H19" s="54" t="n">
        <v>0</v>
      </c>
      <c r="I19" s="52" t="n">
        <f aca="false">ROUND(业务活动表!G19+业务活动表!H19,2)</f>
        <v>0</v>
      </c>
      <c r="J19" s="4"/>
    </row>
    <row r="20" customFormat="false" ht="28" hidden="false" customHeight="true" outlineLevel="0" collapsed="false">
      <c r="A20" s="4"/>
      <c r="B20" s="55"/>
      <c r="C20" s="50" t="n">
        <v>15</v>
      </c>
      <c r="D20" s="54" t="n">
        <v>0</v>
      </c>
      <c r="E20" s="54" t="n">
        <v>0</v>
      </c>
      <c r="F20" s="51" t="n">
        <f aca="false">ROUND(业务活动表!D20+业务活动表!E20,2)</f>
        <v>0</v>
      </c>
      <c r="G20" s="54" t="n">
        <v>0</v>
      </c>
      <c r="H20" s="54" t="n">
        <v>0</v>
      </c>
      <c r="I20" s="52" t="n">
        <f aca="false">ROUND(业务活动表!G20+业务活动表!H20,2)</f>
        <v>0</v>
      </c>
      <c r="J20" s="4"/>
    </row>
    <row r="21" customFormat="false" ht="28" hidden="false" customHeight="true" outlineLevel="0" collapsed="false">
      <c r="A21" s="4"/>
      <c r="B21" s="55"/>
      <c r="C21" s="50" t="n">
        <v>16</v>
      </c>
      <c r="D21" s="54" t="n">
        <v>0</v>
      </c>
      <c r="E21" s="54" t="n">
        <v>0</v>
      </c>
      <c r="F21" s="51" t="n">
        <f aca="false">ROUND(业务活动表!D21+业务活动表!E21,2)</f>
        <v>0</v>
      </c>
      <c r="G21" s="54" t="n">
        <v>0</v>
      </c>
      <c r="H21" s="54" t="n">
        <v>0</v>
      </c>
      <c r="I21" s="52" t="n">
        <f aca="false">ROUND(业务活动表!G21+业务活动表!H21,2)</f>
        <v>0</v>
      </c>
      <c r="J21" s="4"/>
    </row>
    <row r="22" customFormat="false" ht="28" hidden="false" customHeight="true" outlineLevel="0" collapsed="false">
      <c r="A22" s="4"/>
      <c r="B22" s="53" t="s">
        <v>84</v>
      </c>
      <c r="C22" s="50" t="n">
        <v>21</v>
      </c>
      <c r="D22" s="54" t="n">
        <v>0</v>
      </c>
      <c r="E22" s="54" t="n">
        <v>0</v>
      </c>
      <c r="F22" s="51" t="n">
        <f aca="false">ROUND(业务活动表!D22+业务活动表!E22,2)</f>
        <v>0</v>
      </c>
      <c r="G22" s="54" t="n">
        <v>0</v>
      </c>
      <c r="H22" s="54" t="n">
        <v>0</v>
      </c>
      <c r="I22" s="52" t="n">
        <f aca="false">ROUND(业务活动表!G22+业务活动表!H22,2)</f>
        <v>0</v>
      </c>
      <c r="J22" s="4"/>
    </row>
    <row r="23" customFormat="false" ht="28" hidden="false" customHeight="true" outlineLevel="0" collapsed="false">
      <c r="A23" s="4"/>
      <c r="B23" s="53" t="s">
        <v>85</v>
      </c>
      <c r="C23" s="50" t="n">
        <v>24</v>
      </c>
      <c r="D23" s="54" t="n">
        <v>0</v>
      </c>
      <c r="E23" s="54" t="n">
        <v>0</v>
      </c>
      <c r="F23" s="51" t="n">
        <f aca="false">ROUND(业务活动表!D23+业务活动表!E23,2)</f>
        <v>0</v>
      </c>
      <c r="G23" s="54" t="n">
        <v>0</v>
      </c>
      <c r="H23" s="54" t="n">
        <v>0</v>
      </c>
      <c r="I23" s="52" t="n">
        <f aca="false">ROUND(业务活动表!G23+业务活动表!H23,2)</f>
        <v>0</v>
      </c>
      <c r="J23" s="4"/>
    </row>
    <row r="24" customFormat="false" ht="28" hidden="false" customHeight="true" outlineLevel="0" collapsed="false">
      <c r="A24" s="4"/>
      <c r="B24" s="53" t="s">
        <v>86</v>
      </c>
      <c r="C24" s="50" t="n">
        <v>28</v>
      </c>
      <c r="D24" s="54" t="n">
        <v>0</v>
      </c>
      <c r="E24" s="54" t="n">
        <v>0</v>
      </c>
      <c r="F24" s="51" t="n">
        <f aca="false">ROUND(业务活动表!D24+业务活动表!E24,2)</f>
        <v>0</v>
      </c>
      <c r="G24" s="54" t="n">
        <v>0</v>
      </c>
      <c r="H24" s="54" t="n">
        <v>0</v>
      </c>
      <c r="I24" s="52" t="n">
        <f aca="false">ROUND(业务活动表!G24+业务活动表!H24,2)</f>
        <v>0</v>
      </c>
      <c r="J24" s="4"/>
    </row>
    <row r="25" customFormat="false" ht="28" hidden="false" customHeight="true" outlineLevel="0" collapsed="false">
      <c r="A25" s="4"/>
      <c r="B25" s="53" t="s">
        <v>87</v>
      </c>
      <c r="C25" s="50" t="n">
        <v>35</v>
      </c>
      <c r="D25" s="51" t="n">
        <f aca="false">ROUND(业务活动表!D17+业务活动表!D22+业务活动表!D23+业务活动表!D24,2)</f>
        <v>0</v>
      </c>
      <c r="E25" s="51" t="n">
        <f aca="false">ROUND(业务活动表!E17+业务活动表!E22+业务活动表!E23+业务活动表!E24,2)</f>
        <v>0</v>
      </c>
      <c r="F25" s="51" t="n">
        <f aca="false">ROUND(业务活动表!F17+业务活动表!F22+业务活动表!F23+业务活动表!F24,2)</f>
        <v>0</v>
      </c>
      <c r="G25" s="51" t="n">
        <f aca="false">ROUND(业务活动表!G17+业务活动表!G22+业务活动表!G23+业务活动表!G24,2)</f>
        <v>0</v>
      </c>
      <c r="H25" s="51" t="n">
        <f aca="false">ROUND(业务活动表!H17+业务活动表!H22+业务活动表!H23+业务活动表!H24,2)</f>
        <v>0</v>
      </c>
      <c r="I25" s="52" t="n">
        <f aca="false">ROUND(业务活动表!I17+业务活动表!I22+业务活动表!I23+业务活动表!I24,2)</f>
        <v>0</v>
      </c>
      <c r="J25" s="4"/>
    </row>
    <row r="26" customFormat="false" ht="28" hidden="false" customHeight="true" outlineLevel="0" collapsed="false">
      <c r="A26" s="4"/>
      <c r="B26" s="49" t="s">
        <v>88</v>
      </c>
      <c r="C26" s="50" t="n">
        <v>40</v>
      </c>
      <c r="D26" s="54" t="n">
        <v>0</v>
      </c>
      <c r="E26" s="54" t="n">
        <v>0</v>
      </c>
      <c r="F26" s="51" t="n">
        <f aca="false">ROUND(业务活动表!D26+业务活动表!E26,2)</f>
        <v>0</v>
      </c>
      <c r="G26" s="54" t="n">
        <v>0</v>
      </c>
      <c r="H26" s="54" t="n">
        <v>0</v>
      </c>
      <c r="I26" s="52" t="n">
        <f aca="false">ROUND(业务活动表!G26+业务活动表!H26,2)</f>
        <v>0</v>
      </c>
      <c r="J26" s="4"/>
    </row>
    <row r="27" customFormat="false" ht="28" hidden="false" customHeight="true" outlineLevel="0" collapsed="false">
      <c r="A27" s="4"/>
      <c r="B27" s="56" t="s">
        <v>89</v>
      </c>
      <c r="C27" s="57" t="n">
        <v>45</v>
      </c>
      <c r="D27" s="58" t="n">
        <f aca="false">ROUND(业务活动表!D15-业务活动表!D25+业务活动表!D26,2)</f>
        <v>0</v>
      </c>
      <c r="E27" s="58" t="n">
        <f aca="false">ROUND(业务活动表!E15-业务活动表!E25+业务活动表!E26,2)</f>
        <v>0</v>
      </c>
      <c r="F27" s="58" t="n">
        <f aca="false">ROUND(业务活动表!D27+业务活动表!E27,2)</f>
        <v>0</v>
      </c>
      <c r="G27" s="58" t="n">
        <f aca="false">ROUND(业务活动表!G15-业务活动表!G25+业务活动表!G26,2)</f>
        <v>0</v>
      </c>
      <c r="H27" s="58" t="n">
        <f aca="false">ROUND(业务活动表!H15-业务活动表!H25+业务活动表!H26,2)</f>
        <v>0</v>
      </c>
      <c r="I27" s="59" t="n">
        <f aca="false">ROUND(业务活动表!G27+业务活动表!H27,2)</f>
        <v>0</v>
      </c>
      <c r="J27" s="4"/>
    </row>
    <row r="28" customFormat="false" ht="17.2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</row>
  </sheetData>
  <mergeCells count="10">
    <mergeCell ref="B1:I1"/>
    <mergeCell ref="G2:H2"/>
    <mergeCell ref="C3:E3"/>
    <mergeCell ref="G3:I3"/>
    <mergeCell ref="C4:E4"/>
    <mergeCell ref="G4:I4"/>
    <mergeCell ref="B5:B6"/>
    <mergeCell ref="C5:C6"/>
    <mergeCell ref="D5:F5"/>
    <mergeCell ref="G5:I5"/>
  </mergeCells>
  <dataValidations count="2">
    <dataValidation allowBlank="false" error="不能为空，默认赋值0.00" errorStyle="stop" operator="between" showDropDown="false" showErrorMessage="true" showInputMessage="false" sqref="D8:E14 G8:H14 D17:E24 G17:H24 D26:E26 G26:I26" type="decimal">
      <formula1>-9999999999999</formula1>
      <formula2>9999999999999</formula2>
    </dataValidation>
    <dataValidation allowBlank="true" errorStyle="stop" operator="between" showDropDown="false" showErrorMessage="true" showInputMessage="false" sqref="F8:F14 I8:I14 F17:F24 I17:I24 F26:F27 D27:E27 G27:I27" type="decimal">
      <formula1>-9999999999999</formula1>
      <formula2>9999999999999</formula2>
    </dataValidation>
  </dataValidations>
  <printOptions headings="false" gridLines="false" gridLinesSet="true" horizontalCentered="false" verticalCentered="false"/>
  <pageMargins left="0.9" right="0.9" top="0.979861111111111" bottom="0.97986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J10" activeCellId="0" sqref="J10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5.62"/>
    <col collapsed="false" customWidth="true" hidden="false" outlineLevel="0" max="5" min="2" style="0" width="20.62"/>
    <col collapsed="false" customWidth="true" hidden="false" outlineLevel="0" max="6" min="6" style="0" width="6.41"/>
  </cols>
  <sheetData>
    <row r="1" customFormat="false" ht="36.75" hidden="false" customHeight="true" outlineLevel="0" collapsed="false">
      <c r="A1" s="4"/>
      <c r="B1" s="38" t="s">
        <v>90</v>
      </c>
      <c r="C1" s="38"/>
      <c r="D1" s="38"/>
      <c r="E1" s="38"/>
      <c r="F1" s="4"/>
    </row>
    <row r="2" customFormat="false" ht="22.5" hidden="false" customHeight="true" outlineLevel="0" collapsed="false">
      <c r="A2" s="4"/>
      <c r="B2" s="39"/>
      <c r="C2" s="39"/>
      <c r="D2" s="8"/>
      <c r="E2" s="8" t="s">
        <v>91</v>
      </c>
      <c r="F2" s="4"/>
    </row>
    <row r="3" customFormat="false" ht="22.5" hidden="false" customHeight="true" outlineLevel="0" collapsed="false">
      <c r="A3" s="4"/>
      <c r="B3" s="40" t="s">
        <v>2</v>
      </c>
      <c r="C3" s="60" t="str">
        <f aca="false">IF(资产负债表!C3="","",资产负债表!C3)</f>
        <v>52310106MJ50512445</v>
      </c>
      <c r="D3" s="60"/>
      <c r="E3" s="60"/>
      <c r="F3" s="4"/>
    </row>
    <row r="4" customFormat="false" ht="22.5" hidden="false" customHeight="true" outlineLevel="0" collapsed="false">
      <c r="A4" s="4"/>
      <c r="B4" s="43" t="s">
        <v>4</v>
      </c>
      <c r="C4" s="61" t="str">
        <f aca="false">IF(资产负债表!G3="","",资产负债表!G3)</f>
        <v>上海静安千千结婚恋服务中心</v>
      </c>
      <c r="D4" s="61"/>
      <c r="E4" s="61"/>
      <c r="F4" s="4"/>
    </row>
    <row r="5" customFormat="false" ht="22.5" hidden="false" customHeight="true" outlineLevel="0" collapsed="false">
      <c r="A5" s="4"/>
      <c r="B5" s="43" t="s">
        <v>6</v>
      </c>
      <c r="C5" s="44" t="str">
        <f aca="false">IF(资产负债表!C4="","",资产负债表!C4)</f>
        <v/>
      </c>
      <c r="D5" s="15" t="s">
        <v>7</v>
      </c>
      <c r="E5" s="45" t="str">
        <f aca="false">IF(资产负债表!G4="","",资产负债表!G4)</f>
        <v/>
      </c>
      <c r="F5" s="4"/>
    </row>
    <row r="6" customFormat="false" ht="22.5" hidden="false" customHeight="true" outlineLevel="0" collapsed="false">
      <c r="A6" s="4"/>
      <c r="B6" s="46" t="s">
        <v>66</v>
      </c>
      <c r="C6" s="46"/>
      <c r="D6" s="47" t="s">
        <v>9</v>
      </c>
      <c r="E6" s="48" t="s">
        <v>92</v>
      </c>
      <c r="F6" s="4"/>
    </row>
    <row r="7" customFormat="false" ht="22.5" hidden="false" customHeight="true" outlineLevel="0" collapsed="false">
      <c r="A7" s="4"/>
      <c r="B7" s="49" t="s">
        <v>93</v>
      </c>
      <c r="C7" s="49"/>
      <c r="D7" s="50"/>
      <c r="E7" s="52"/>
      <c r="F7" s="4"/>
    </row>
    <row r="8" customFormat="false" ht="22.5" hidden="false" customHeight="true" outlineLevel="0" collapsed="false">
      <c r="A8" s="4"/>
      <c r="B8" s="53" t="s">
        <v>94</v>
      </c>
      <c r="C8" s="53"/>
      <c r="D8" s="50" t="n">
        <v>1</v>
      </c>
      <c r="E8" s="62" t="n">
        <v>0</v>
      </c>
      <c r="F8" s="4"/>
    </row>
    <row r="9" customFormat="false" ht="22.5" hidden="false" customHeight="true" outlineLevel="0" collapsed="false">
      <c r="A9" s="4"/>
      <c r="B9" s="53" t="s">
        <v>95</v>
      </c>
      <c r="C9" s="53"/>
      <c r="D9" s="50" t="n">
        <v>2</v>
      </c>
      <c r="E9" s="62" t="n">
        <v>0</v>
      </c>
      <c r="F9" s="4"/>
    </row>
    <row r="10" customFormat="false" ht="22.5" hidden="false" customHeight="true" outlineLevel="0" collapsed="false">
      <c r="A10" s="4"/>
      <c r="B10" s="53" t="s">
        <v>96</v>
      </c>
      <c r="C10" s="53"/>
      <c r="D10" s="50" t="n">
        <v>3</v>
      </c>
      <c r="E10" s="62" t="n">
        <v>0</v>
      </c>
      <c r="F10" s="4"/>
    </row>
    <row r="11" customFormat="false" ht="22.5" hidden="false" customHeight="true" outlineLevel="0" collapsed="false">
      <c r="A11" s="4"/>
      <c r="B11" s="53" t="s">
        <v>97</v>
      </c>
      <c r="C11" s="53"/>
      <c r="D11" s="50" t="n">
        <v>4</v>
      </c>
      <c r="E11" s="62" t="n">
        <v>0</v>
      </c>
      <c r="F11" s="4"/>
    </row>
    <row r="12" customFormat="false" ht="22.5" hidden="false" customHeight="true" outlineLevel="0" collapsed="false">
      <c r="A12" s="4"/>
      <c r="B12" s="53" t="s">
        <v>98</v>
      </c>
      <c r="C12" s="53"/>
      <c r="D12" s="50" t="n">
        <v>5</v>
      </c>
      <c r="E12" s="62" t="n">
        <v>0</v>
      </c>
      <c r="F12" s="4"/>
    </row>
    <row r="13" customFormat="false" ht="22.5" hidden="false" customHeight="true" outlineLevel="0" collapsed="false">
      <c r="A13" s="4"/>
      <c r="B13" s="53" t="s">
        <v>99</v>
      </c>
      <c r="C13" s="53"/>
      <c r="D13" s="50" t="n">
        <v>8</v>
      </c>
      <c r="E13" s="62" t="n">
        <v>0</v>
      </c>
      <c r="F13" s="4"/>
    </row>
    <row r="14" customFormat="false" ht="22.5" hidden="false" customHeight="true" outlineLevel="0" collapsed="false">
      <c r="A14" s="4"/>
      <c r="B14" s="53" t="s">
        <v>100</v>
      </c>
      <c r="C14" s="53"/>
      <c r="D14" s="50" t="n">
        <v>13</v>
      </c>
      <c r="E14" s="52" t="n">
        <f aca="false">ROUND((E8+E9+E10+E11+E12+E13),2)</f>
        <v>0</v>
      </c>
      <c r="F14" s="4"/>
    </row>
    <row r="15" customFormat="false" ht="22.5" hidden="false" customHeight="true" outlineLevel="0" collapsed="false">
      <c r="A15" s="4"/>
      <c r="B15" s="53" t="s">
        <v>101</v>
      </c>
      <c r="C15" s="53"/>
      <c r="D15" s="50" t="n">
        <v>14</v>
      </c>
      <c r="E15" s="62" t="n">
        <v>0</v>
      </c>
      <c r="F15" s="4"/>
    </row>
    <row r="16" customFormat="false" ht="22.5" hidden="false" customHeight="true" outlineLevel="0" collapsed="false">
      <c r="A16" s="4"/>
      <c r="B16" s="53" t="s">
        <v>102</v>
      </c>
      <c r="C16" s="53"/>
      <c r="D16" s="50" t="n">
        <v>15</v>
      </c>
      <c r="E16" s="62" t="n">
        <v>0</v>
      </c>
      <c r="F16" s="4"/>
    </row>
    <row r="17" customFormat="false" ht="22.5" hidden="false" customHeight="true" outlineLevel="0" collapsed="false">
      <c r="A17" s="4"/>
      <c r="B17" s="53" t="s">
        <v>103</v>
      </c>
      <c r="C17" s="53"/>
      <c r="D17" s="50" t="n">
        <v>16</v>
      </c>
      <c r="E17" s="62" t="n">
        <v>0</v>
      </c>
      <c r="F17" s="4"/>
    </row>
    <row r="18" customFormat="false" ht="22.5" hidden="false" customHeight="true" outlineLevel="0" collapsed="false">
      <c r="A18" s="4"/>
      <c r="B18" s="53" t="s">
        <v>104</v>
      </c>
      <c r="C18" s="53"/>
      <c r="D18" s="50" t="n">
        <v>19</v>
      </c>
      <c r="E18" s="62" t="n">
        <v>0</v>
      </c>
      <c r="F18" s="4"/>
    </row>
    <row r="19" customFormat="false" ht="22.5" hidden="false" customHeight="true" outlineLevel="0" collapsed="false">
      <c r="A19" s="4"/>
      <c r="B19" s="53" t="s">
        <v>105</v>
      </c>
      <c r="C19" s="53"/>
      <c r="D19" s="50" t="n">
        <v>23</v>
      </c>
      <c r="E19" s="52" t="n">
        <f aca="false">ROUND((E15+E16+E17+E18),2)</f>
        <v>0</v>
      </c>
      <c r="F19" s="4"/>
    </row>
    <row r="20" customFormat="false" ht="22.5" hidden="false" customHeight="true" outlineLevel="0" collapsed="false">
      <c r="A20" s="4"/>
      <c r="B20" s="53" t="s">
        <v>106</v>
      </c>
      <c r="C20" s="53"/>
      <c r="D20" s="50" t="n">
        <v>24</v>
      </c>
      <c r="E20" s="52" t="n">
        <f aca="false">ROUND(现金流量表!E14-现金流量表!E19,2)</f>
        <v>0</v>
      </c>
      <c r="F20" s="4"/>
    </row>
    <row r="21" customFormat="false" ht="22.5" hidden="false" customHeight="true" outlineLevel="0" collapsed="false">
      <c r="A21" s="4"/>
      <c r="B21" s="49" t="s">
        <v>107</v>
      </c>
      <c r="C21" s="49"/>
      <c r="D21" s="50"/>
      <c r="E21" s="52"/>
      <c r="F21" s="4"/>
    </row>
    <row r="22" customFormat="false" ht="22.5" hidden="false" customHeight="true" outlineLevel="0" collapsed="false">
      <c r="A22" s="4"/>
      <c r="B22" s="53" t="s">
        <v>108</v>
      </c>
      <c r="C22" s="53"/>
      <c r="D22" s="50" t="n">
        <v>25</v>
      </c>
      <c r="E22" s="62" t="n">
        <v>0</v>
      </c>
      <c r="F22" s="4"/>
    </row>
    <row r="23" customFormat="false" ht="22.5" hidden="false" customHeight="true" outlineLevel="0" collapsed="false">
      <c r="A23" s="4"/>
      <c r="B23" s="53" t="s">
        <v>109</v>
      </c>
      <c r="C23" s="53"/>
      <c r="D23" s="50" t="n">
        <v>26</v>
      </c>
      <c r="E23" s="62" t="n">
        <v>0</v>
      </c>
      <c r="F23" s="4"/>
    </row>
    <row r="24" customFormat="false" ht="22.5" hidden="false" customHeight="true" outlineLevel="0" collapsed="false">
      <c r="A24" s="4"/>
      <c r="B24" s="53" t="s">
        <v>110</v>
      </c>
      <c r="C24" s="53"/>
      <c r="D24" s="50" t="n">
        <v>27</v>
      </c>
      <c r="E24" s="62" t="n">
        <v>0</v>
      </c>
      <c r="F24" s="4"/>
    </row>
    <row r="25" customFormat="false" ht="22.5" hidden="false" customHeight="true" outlineLevel="0" collapsed="false">
      <c r="A25" s="4"/>
      <c r="B25" s="53" t="s">
        <v>111</v>
      </c>
      <c r="C25" s="53"/>
      <c r="D25" s="50" t="n">
        <v>30</v>
      </c>
      <c r="E25" s="62" t="n">
        <v>0</v>
      </c>
      <c r="F25" s="4"/>
    </row>
    <row r="26" customFormat="false" ht="22.5" hidden="false" customHeight="true" outlineLevel="0" collapsed="false">
      <c r="A26" s="4"/>
      <c r="B26" s="53" t="s">
        <v>100</v>
      </c>
      <c r="C26" s="53"/>
      <c r="D26" s="50" t="n">
        <v>34</v>
      </c>
      <c r="E26" s="52" t="n">
        <f aca="false">ROUND((E22+E23+E24+E25),2)</f>
        <v>0</v>
      </c>
      <c r="F26" s="4"/>
    </row>
    <row r="27" customFormat="false" ht="22.5" hidden="false" customHeight="true" outlineLevel="0" collapsed="false">
      <c r="A27" s="4"/>
      <c r="B27" s="53" t="s">
        <v>112</v>
      </c>
      <c r="C27" s="53"/>
      <c r="D27" s="50" t="n">
        <v>35</v>
      </c>
      <c r="E27" s="62" t="n">
        <v>0</v>
      </c>
      <c r="F27" s="4"/>
    </row>
    <row r="28" customFormat="false" ht="22.5" hidden="false" customHeight="true" outlineLevel="0" collapsed="false">
      <c r="A28" s="4"/>
      <c r="B28" s="53" t="s">
        <v>113</v>
      </c>
      <c r="C28" s="53"/>
      <c r="D28" s="50" t="n">
        <v>36</v>
      </c>
      <c r="E28" s="62" t="n">
        <v>0</v>
      </c>
      <c r="F28" s="4"/>
    </row>
    <row r="29" customFormat="false" ht="22.5" hidden="false" customHeight="true" outlineLevel="0" collapsed="false">
      <c r="A29" s="4"/>
      <c r="B29" s="53" t="s">
        <v>114</v>
      </c>
      <c r="C29" s="53"/>
      <c r="D29" s="50" t="n">
        <v>39</v>
      </c>
      <c r="E29" s="62" t="n">
        <v>0</v>
      </c>
      <c r="F29" s="4"/>
    </row>
    <row r="30" customFormat="false" ht="22.5" hidden="false" customHeight="true" outlineLevel="0" collapsed="false">
      <c r="A30" s="4"/>
      <c r="B30" s="53" t="s">
        <v>105</v>
      </c>
      <c r="C30" s="53"/>
      <c r="D30" s="50" t="n">
        <v>43</v>
      </c>
      <c r="E30" s="52" t="n">
        <f aca="false">ROUND((E27+E28+E29),2)</f>
        <v>0</v>
      </c>
      <c r="F30" s="4"/>
    </row>
    <row r="31" customFormat="false" ht="22.5" hidden="false" customHeight="true" outlineLevel="0" collapsed="false">
      <c r="A31" s="4"/>
      <c r="B31" s="53" t="s">
        <v>115</v>
      </c>
      <c r="C31" s="53"/>
      <c r="D31" s="50" t="n">
        <v>44</v>
      </c>
      <c r="E31" s="52" t="n">
        <f aca="false">ROUND(现金流量表!E26-现金流量表!E30,2)</f>
        <v>0</v>
      </c>
      <c r="F31" s="4"/>
    </row>
    <row r="32" customFormat="false" ht="22.5" hidden="false" customHeight="true" outlineLevel="0" collapsed="false">
      <c r="A32" s="4"/>
      <c r="B32" s="49" t="s">
        <v>116</v>
      </c>
      <c r="C32" s="49"/>
      <c r="D32" s="50"/>
      <c r="E32" s="52"/>
      <c r="F32" s="4"/>
    </row>
    <row r="33" customFormat="false" ht="22.5" hidden="false" customHeight="true" outlineLevel="0" collapsed="false">
      <c r="A33" s="4"/>
      <c r="B33" s="53" t="s">
        <v>117</v>
      </c>
      <c r="C33" s="53"/>
      <c r="D33" s="50" t="n">
        <v>45</v>
      </c>
      <c r="E33" s="62" t="n">
        <v>0</v>
      </c>
      <c r="F33" s="4"/>
    </row>
    <row r="34" customFormat="false" ht="22.5" hidden="false" customHeight="true" outlineLevel="0" collapsed="false">
      <c r="A34" s="4"/>
      <c r="B34" s="53" t="s">
        <v>118</v>
      </c>
      <c r="C34" s="53"/>
      <c r="D34" s="50" t="n">
        <v>48</v>
      </c>
      <c r="E34" s="62" t="n">
        <v>0</v>
      </c>
      <c r="F34" s="4"/>
    </row>
    <row r="35" customFormat="false" ht="22.5" hidden="false" customHeight="true" outlineLevel="0" collapsed="false">
      <c r="A35" s="4"/>
      <c r="B35" s="53" t="s">
        <v>100</v>
      </c>
      <c r="C35" s="53"/>
      <c r="D35" s="50" t="n">
        <v>50</v>
      </c>
      <c r="E35" s="52" t="n">
        <f aca="false">ROUND((E33+E34),2)</f>
        <v>0</v>
      </c>
      <c r="F35" s="4"/>
    </row>
    <row r="36" customFormat="false" ht="22.5" hidden="false" customHeight="true" outlineLevel="0" collapsed="false">
      <c r="A36" s="4"/>
      <c r="B36" s="53" t="s">
        <v>119</v>
      </c>
      <c r="C36" s="53"/>
      <c r="D36" s="50" t="n">
        <v>51</v>
      </c>
      <c r="E36" s="62" t="n">
        <v>0</v>
      </c>
      <c r="F36" s="4"/>
    </row>
    <row r="37" customFormat="false" ht="22.5" hidden="false" customHeight="true" outlineLevel="0" collapsed="false">
      <c r="A37" s="4"/>
      <c r="B37" s="53" t="s">
        <v>120</v>
      </c>
      <c r="C37" s="53"/>
      <c r="D37" s="50" t="n">
        <v>52</v>
      </c>
      <c r="E37" s="62" t="n">
        <v>0</v>
      </c>
      <c r="F37" s="4"/>
    </row>
    <row r="38" customFormat="false" ht="22.5" hidden="false" customHeight="true" outlineLevel="0" collapsed="false">
      <c r="A38" s="4"/>
      <c r="B38" s="53" t="s">
        <v>121</v>
      </c>
      <c r="C38" s="53"/>
      <c r="D38" s="50" t="n">
        <v>55</v>
      </c>
      <c r="E38" s="62" t="n">
        <v>0</v>
      </c>
      <c r="F38" s="4"/>
    </row>
    <row r="39" customFormat="false" ht="22.5" hidden="false" customHeight="true" outlineLevel="0" collapsed="false">
      <c r="A39" s="4"/>
      <c r="B39" s="53" t="s">
        <v>105</v>
      </c>
      <c r="C39" s="53"/>
      <c r="D39" s="50" t="n">
        <v>58</v>
      </c>
      <c r="E39" s="52" t="n">
        <f aca="false">ROUND((E36+E37+E38),2)</f>
        <v>0</v>
      </c>
      <c r="F39" s="4"/>
    </row>
    <row r="40" customFormat="false" ht="22.5" hidden="false" customHeight="true" outlineLevel="0" collapsed="false">
      <c r="A40" s="4"/>
      <c r="B40" s="53" t="s">
        <v>122</v>
      </c>
      <c r="C40" s="53"/>
      <c r="D40" s="50" t="n">
        <v>59</v>
      </c>
      <c r="E40" s="52" t="n">
        <f aca="false">ROUND(现金流量表!E35-现金流量表!E39,2)</f>
        <v>0</v>
      </c>
      <c r="F40" s="4"/>
    </row>
    <row r="41" customFormat="false" ht="22.5" hidden="false" customHeight="true" outlineLevel="0" collapsed="false">
      <c r="A41" s="4"/>
      <c r="B41" s="53" t="s">
        <v>123</v>
      </c>
      <c r="C41" s="53"/>
      <c r="D41" s="50" t="n">
        <v>60</v>
      </c>
      <c r="E41" s="62" t="n">
        <v>0</v>
      </c>
      <c r="F41" s="4"/>
    </row>
    <row r="42" customFormat="false" ht="22.5" hidden="false" customHeight="true" outlineLevel="0" collapsed="false">
      <c r="A42" s="4"/>
      <c r="B42" s="63" t="s">
        <v>124</v>
      </c>
      <c r="C42" s="63"/>
      <c r="D42" s="57" t="n">
        <v>61</v>
      </c>
      <c r="E42" s="59" t="n">
        <f aca="false">ROUND(现金流量表!E20+现金流量表!E31+现金流量表!E40+现金流量表!E41,2)</f>
        <v>0</v>
      </c>
      <c r="F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</row>
  </sheetData>
  <mergeCells count="40">
    <mergeCell ref="B1:E1"/>
    <mergeCell ref="C3:E3"/>
    <mergeCell ref="C4:E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</mergeCells>
  <dataValidations count="2">
    <dataValidation allowBlank="false" error="不能为空，默认赋值0.00" errorStyle="stop" operator="between" showDropDown="false" showErrorMessage="true" showInputMessage="false" sqref="E8:E13 E15:E18 E22:E25 E27:E29 E33:E34 E36:E38 E41" type="decimal">
      <formula1>-9999999999999</formula1>
      <formula2>9999999999999</formula2>
    </dataValidation>
    <dataValidation allowBlank="true" errorStyle="stop" operator="between" showDropDown="false" showErrorMessage="true" showInputMessage="false" sqref="E42" type="decimal">
      <formula1>-9999999999999</formula1>
      <formula2>9999999999999</formula2>
    </dataValidation>
  </dataValidations>
  <printOptions headings="false" gridLines="false" gridLinesSet="true" horizontalCentered="false" verticalCentered="false"/>
  <pageMargins left="0.9" right="0.9" top="0.979861111111111" bottom="0.97986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2014-12-17T08:26:14Z</dcterms:created>
  <dc:creator>Administrator</dc:creator>
  <dc:description/>
  <cp:keywords/>
  <dc:language>en-US</dc:language>
  <cp:lastModifiedBy>114418515@qq.com</cp:lastModifiedBy>
  <dcterms:modified xsi:type="dcterms:W3CDTF">2026-06-08T05:48:55Z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AE1C3AB0F1354C689DBD6CC604028735</vt:lpwstr>
  </property>
  <property fmtid="{D5CDD505-2E9C-101B-9397-08002B2CF9AE}" pid="3" name="KSOProductBuildVer">
    <vt:lpwstr>2052-12.1.0.15120</vt:lpwstr>
  </property>
</Properties>
</file>